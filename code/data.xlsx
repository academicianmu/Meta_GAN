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4"/>
  </bookViews>
  <sheets>
    <sheet name="水泥行业原始数据" sheetId="16" r:id="rId1"/>
    <sheet name="造纸行业原始数据" sheetId="10" r:id="rId2"/>
    <sheet name="平板玻璃原始数据" sheetId="17" r:id="rId3"/>
    <sheet name="陶瓷行业原始数据" sheetId="5" r:id="rId4"/>
    <sheet name="钢铁(原始数据）" sheetId="6" r:id="rId5"/>
    <sheet name="钢铁（高炉）生成数据" sheetId="11" r:id="rId6"/>
    <sheet name="钢铁（电弧炉）生成数据" sheetId="12" r:id="rId7"/>
    <sheet name="有色行业原始数据" sheetId="7" r:id="rId8"/>
    <sheet name="铜冶炼生成数据" sheetId="13" r:id="rId9"/>
    <sheet name="纺织原始数据" sheetId="8" r:id="rId10"/>
    <sheet name="纺织生成数据" sheetId="14" r:id="rId11"/>
    <sheet name="合成纤维原始数据" sheetId="9" r:id="rId12"/>
    <sheet name="合成纤维生成数据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<sst xmlns="http://schemas.openxmlformats.org/spreadsheetml/2006/main" count="2558" uniqueCount="589">
  <si>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</si>
  <si>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年度</t>
    </r>
  </si>
  <si>
    <r>
      <rPr>
        <sz val="11"/>
        <color theme="1"/>
        <rFont val="宋体"/>
        <charset val="134"/>
      </rPr>
      <t>企业名称</t>
    </r>
  </si>
  <si>
    <r>
      <rPr>
        <sz val="11"/>
        <color theme="1"/>
        <rFont val="宋体"/>
        <charset val="134"/>
      </rPr>
      <t>地址</t>
    </r>
  </si>
  <si>
    <r>
      <rPr>
        <sz val="11"/>
        <color theme="1"/>
        <rFont val="宋体"/>
        <charset val="134"/>
      </rPr>
      <t>主要工艺</t>
    </r>
  </si>
  <si>
    <r>
      <rPr>
        <sz val="11"/>
        <color theme="1"/>
        <rFont val="宋体"/>
        <charset val="134"/>
      </rPr>
      <t>主要产品</t>
    </r>
  </si>
  <si>
    <t>水泥产量</t>
  </si>
  <si>
    <r>
      <rPr>
        <sz val="11"/>
        <color theme="1"/>
        <rFont val="宋体"/>
        <charset val="134"/>
      </rPr>
      <t>产量单位</t>
    </r>
  </si>
  <si>
    <r>
      <rPr>
        <sz val="11"/>
        <color theme="1"/>
        <rFont val="宋体"/>
        <charset val="134"/>
      </rPr>
      <t>主要设备</t>
    </r>
    <r>
      <rPr>
        <sz val="11"/>
        <color theme="1"/>
        <rFont val="Times New Roman"/>
        <charset val="134"/>
      </rPr>
      <t>1</t>
    </r>
  </si>
  <si>
    <r>
      <rPr>
        <sz val="11"/>
        <color theme="1"/>
        <rFont val="宋体"/>
        <charset val="134"/>
      </rPr>
      <t>主要设备</t>
    </r>
    <r>
      <rPr>
        <sz val="11"/>
        <color theme="1"/>
        <rFont val="Times New Roman"/>
        <charset val="134"/>
      </rPr>
      <t>2</t>
    </r>
  </si>
  <si>
    <r>
      <rPr>
        <sz val="11"/>
        <color theme="1"/>
        <rFont val="宋体"/>
        <charset val="134"/>
      </rPr>
      <t>主要设备</t>
    </r>
    <r>
      <rPr>
        <sz val="11"/>
        <color theme="1"/>
        <rFont val="Times New Roman"/>
        <charset val="134"/>
      </rPr>
      <t>3</t>
    </r>
  </si>
  <si>
    <r>
      <rPr>
        <sz val="11"/>
        <color theme="1"/>
        <rFont val="宋体"/>
        <charset val="134"/>
      </rPr>
      <t>主要设备</t>
    </r>
    <r>
      <rPr>
        <sz val="11"/>
        <color theme="1"/>
        <rFont val="Times New Roman"/>
        <charset val="134"/>
      </rPr>
      <t>4</t>
    </r>
  </si>
  <si>
    <r>
      <rPr>
        <sz val="11"/>
        <color theme="1"/>
        <rFont val="宋体"/>
        <charset val="134"/>
      </rPr>
      <t>主要设备</t>
    </r>
    <r>
      <rPr>
        <sz val="11"/>
        <color theme="1"/>
        <rFont val="Times New Roman"/>
        <charset val="134"/>
      </rPr>
      <t>5</t>
    </r>
  </si>
  <si>
    <t>主要设备6</t>
  </si>
  <si>
    <t>主要设备7</t>
  </si>
  <si>
    <t>主要设备8</t>
  </si>
  <si>
    <t>主要设备9</t>
  </si>
  <si>
    <t>主要设备10</t>
  </si>
  <si>
    <t>主要设备11</t>
  </si>
  <si>
    <r>
      <rPr>
        <sz val="11"/>
        <color theme="1"/>
        <rFont val="宋体"/>
        <charset val="134"/>
      </rPr>
      <t>用电量</t>
    </r>
    <r>
      <rPr>
        <sz val="11"/>
        <color theme="1"/>
        <rFont val="Times New Roman"/>
        <charset val="134"/>
      </rPr>
      <t>(MWh)</t>
    </r>
  </si>
  <si>
    <t>用烟煤量（吨）</t>
  </si>
  <si>
    <t>用柴油量（吨）</t>
  </si>
  <si>
    <t>用汽油量（吨）</t>
  </si>
  <si>
    <t>用石油焦量（吨）</t>
  </si>
  <si>
    <t>用液化石油气量（吨）</t>
  </si>
  <si>
    <t>用煤矸石量（吨）</t>
  </si>
  <si>
    <t>用贫瘦煤量（吨）</t>
  </si>
  <si>
    <t>用洗精煤量（吨）</t>
  </si>
  <si>
    <t>用乙炔量（吨）</t>
  </si>
  <si>
    <t>用无烟煤量（吨）</t>
  </si>
  <si>
    <t>熟料产量（吨）</t>
  </si>
  <si>
    <t>窑炉排气筒粉尘量（吨）</t>
  </si>
  <si>
    <t>生料消耗量（吨）</t>
  </si>
  <si>
    <r>
      <rPr>
        <sz val="11"/>
        <color theme="1"/>
        <rFont val="宋体"/>
        <charset val="134"/>
      </rPr>
      <t>品种</t>
    </r>
  </si>
  <si>
    <r>
      <rPr>
        <sz val="11"/>
        <color theme="1"/>
        <rFont val="宋体"/>
        <charset val="134"/>
      </rPr>
      <t>用油量（吨）</t>
    </r>
  </si>
  <si>
    <r>
      <rPr>
        <sz val="11"/>
        <color theme="1"/>
        <rFont val="宋体"/>
        <charset val="134"/>
      </rPr>
      <t>用气量（万</t>
    </r>
    <r>
      <rPr>
        <sz val="11"/>
        <color theme="1"/>
        <rFont val="Times New Roman"/>
        <charset val="134"/>
      </rPr>
      <t>Nm3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</si>
  <si>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热值（</t>
    </r>
    <r>
      <rPr>
        <sz val="11"/>
        <color theme="1"/>
        <rFont val="Times New Roman"/>
        <charset val="134"/>
      </rPr>
      <t>GJ/</t>
    </r>
    <r>
      <rPr>
        <sz val="11"/>
        <color theme="1"/>
        <rFont val="宋体"/>
        <charset val="134"/>
      </rPr>
      <t>万</t>
    </r>
    <r>
      <rPr>
        <sz val="11"/>
        <color theme="1"/>
        <rFont val="Times New Roman"/>
        <charset val="134"/>
      </rPr>
      <t>Nm3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</si>
  <si>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其他消耗量（吨）</t>
    </r>
  </si>
  <si>
    <t>净购入使用的电力对应的排放量</t>
  </si>
  <si>
    <r>
      <rPr>
        <sz val="11"/>
        <color theme="1"/>
        <rFont val="宋体"/>
        <charset val="134"/>
      </rPr>
      <t>化石燃料燃烧直接排放</t>
    </r>
  </si>
  <si>
    <t>燃烟煤燃烧排放量</t>
  </si>
  <si>
    <t>柴油燃烧排放量</t>
  </si>
  <si>
    <t>汽油燃烧排放量</t>
  </si>
  <si>
    <t>石油焦燃烧排放量</t>
  </si>
  <si>
    <t>液化石油气燃烧排放量</t>
  </si>
  <si>
    <t>煤矸石燃烧排放量</t>
  </si>
  <si>
    <t>贫瘦煤燃烧排放量</t>
  </si>
  <si>
    <t>洗精煤燃烧排放量</t>
  </si>
  <si>
    <t>乙炔燃烧排放量</t>
  </si>
  <si>
    <t>无烟煤燃烧排放量</t>
  </si>
  <si>
    <t>原料分解产生的CO2排放</t>
  </si>
  <si>
    <r>
      <rPr>
        <sz val="11"/>
        <color theme="1"/>
        <rFont val="宋体"/>
        <charset val="134"/>
      </rPr>
      <t>生料中非燃料碳煅烧产生的</t>
    </r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排放</t>
    </r>
  </si>
  <si>
    <r>
      <rPr>
        <sz val="11"/>
        <color theme="1"/>
        <rFont val="宋体"/>
        <charset val="134"/>
      </rPr>
      <t>原料碳酸盐矿物分解直接排放</t>
    </r>
  </si>
  <si>
    <r>
      <rPr>
        <sz val="11"/>
        <color theme="1"/>
        <rFont val="宋体"/>
        <charset val="134"/>
      </rPr>
      <t>总排放量</t>
    </r>
  </si>
  <si>
    <r>
      <rPr>
        <sz val="11"/>
        <color theme="1"/>
        <rFont val="宋体"/>
        <charset val="134"/>
      </rPr>
      <t>电排放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总排放</t>
    </r>
  </si>
  <si>
    <r>
      <rPr>
        <sz val="11"/>
        <color theme="1"/>
        <rFont val="宋体"/>
        <charset val="134"/>
      </rPr>
      <t>化石燃料排放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总排放</t>
    </r>
  </si>
  <si>
    <t>原料破碎-生料制备-熟料煅烧-水泥粉磨</t>
  </si>
  <si>
    <t>水泥制造</t>
  </si>
  <si>
    <t>吨</t>
  </si>
  <si>
    <t>回转窑</t>
  </si>
  <si>
    <t>高效细锤机</t>
  </si>
  <si>
    <t>球磨机</t>
  </si>
  <si>
    <t>布袋除尘器</t>
  </si>
  <si>
    <t>高压静电除尘器</t>
  </si>
  <si>
    <t>辊压机</t>
  </si>
  <si>
    <t>辊式立磨</t>
  </si>
  <si>
    <t>单段锤式破碎机</t>
  </si>
  <si>
    <t>循环风机</t>
  </si>
  <si>
    <t>高温风机</t>
  </si>
  <si>
    <t>干法旋窑</t>
  </si>
  <si>
    <t>水泥磨</t>
  </si>
  <si>
    <t>生料磨</t>
  </si>
  <si>
    <t>煤磨</t>
  </si>
  <si>
    <t>废石筛分</t>
  </si>
  <si>
    <t>石灰石破碎机</t>
  </si>
  <si>
    <t>经链式输送机</t>
  </si>
  <si>
    <t>板链提升机</t>
  </si>
  <si>
    <t>空气输送斜槽</t>
  </si>
  <si>
    <t>原料破碎机</t>
  </si>
  <si>
    <t>原料磨</t>
  </si>
  <si>
    <t>风扫煤磨</t>
  </si>
  <si>
    <t>篦冷机</t>
  </si>
  <si>
    <t>水泥粉磨辊压机</t>
  </si>
  <si>
    <t>胶带式装车机</t>
  </si>
  <si>
    <t>水泥包装机</t>
  </si>
  <si>
    <t>水泥窑</t>
  </si>
  <si>
    <t>定量给料机</t>
  </si>
  <si>
    <t>辊式磨</t>
  </si>
  <si>
    <t>立式煤磨</t>
  </si>
  <si>
    <t>熟料破碎机</t>
  </si>
  <si>
    <t>控制流篦式冷却机</t>
  </si>
  <si>
    <t>主电动机</t>
  </si>
  <si>
    <t>无</t>
  </si>
  <si>
    <t>立磨主电机</t>
  </si>
  <si>
    <t>篦冷机风机</t>
  </si>
  <si>
    <t>斗式提升机</t>
  </si>
  <si>
    <t>煤磨罗茨风机</t>
  </si>
  <si>
    <t>窑主电机</t>
  </si>
  <si>
    <t>立磨选粉机</t>
  </si>
  <si>
    <t>a</t>
  </si>
  <si>
    <t>颚式破碎机</t>
  </si>
  <si>
    <t>反击式破碎机</t>
  </si>
  <si>
    <t>外加剂磨机</t>
  </si>
  <si>
    <t>水泥磨机</t>
  </si>
  <si>
    <t>包装机</t>
  </si>
  <si>
    <t>b</t>
  </si>
  <si>
    <t>重型板式给料机</t>
  </si>
  <si>
    <t>胶带输送机</t>
  </si>
  <si>
    <t>板式喂料机</t>
  </si>
  <si>
    <t>堆料机</t>
  </si>
  <si>
    <t>罗茨风机</t>
  </si>
  <si>
    <r>
      <rPr>
        <sz val="12"/>
        <color rgb="FF000000"/>
        <rFont val="楷体"/>
        <charset val="134"/>
      </rPr>
      <t>水泥</t>
    </r>
    <r>
      <rPr>
        <sz val="12"/>
        <color rgb="FF000000"/>
        <rFont val="楷体"/>
        <charset val="134"/>
      </rPr>
      <t>窑</t>
    </r>
  </si>
  <si>
    <t>窑头排风机</t>
  </si>
  <si>
    <t>煤磨收尘排风机</t>
  </si>
  <si>
    <t>中速辊式磨煤机</t>
  </si>
  <si>
    <t>c</t>
  </si>
  <si>
    <t>破碎机</t>
  </si>
  <si>
    <t>分解炉</t>
  </si>
  <si>
    <t>冷却机</t>
  </si>
  <si>
    <t>d</t>
  </si>
  <si>
    <t>烘干机</t>
  </si>
  <si>
    <r>
      <rPr>
        <sz val="11"/>
        <color theme="1"/>
        <rFont val="等线"/>
        <charset val="134"/>
        <scheme val="minor"/>
      </rPr>
      <t>生料</t>
    </r>
    <r>
      <rPr>
        <sz val="12"/>
        <color theme="1"/>
        <rFont val="仿宋"/>
        <charset val="134"/>
      </rPr>
      <t>磨</t>
    </r>
  </si>
  <si>
    <r>
      <rPr>
        <sz val="11"/>
        <color theme="1"/>
        <rFont val="等线"/>
        <charset val="134"/>
        <scheme val="minor"/>
      </rPr>
      <t>煤</t>
    </r>
    <r>
      <rPr>
        <sz val="12"/>
        <color theme="1"/>
        <rFont val="仿宋"/>
        <charset val="134"/>
      </rPr>
      <t>磨</t>
    </r>
  </si>
  <si>
    <r>
      <rPr>
        <sz val="11"/>
        <color theme="1"/>
        <rFont val="等线"/>
        <charset val="134"/>
        <scheme val="minor"/>
      </rPr>
      <t>水泥</t>
    </r>
    <r>
      <rPr>
        <sz val="12"/>
        <color theme="1"/>
        <rFont val="仿宋"/>
        <charset val="134"/>
      </rPr>
      <t>磨</t>
    </r>
  </si>
  <si>
    <r>
      <rPr>
        <sz val="11"/>
        <color theme="1"/>
        <rFont val="等线"/>
        <charset val="134"/>
        <scheme val="minor"/>
      </rPr>
      <t>余热</t>
    </r>
    <r>
      <rPr>
        <sz val="12"/>
        <color theme="1"/>
        <rFont val="仿宋_GB2312"/>
        <charset val="134"/>
      </rPr>
      <t>发电系统</t>
    </r>
  </si>
  <si>
    <t>煤磨机</t>
  </si>
  <si>
    <t>立磨</t>
  </si>
  <si>
    <t>锤式破碎机</t>
  </si>
  <si>
    <t>排风机</t>
  </si>
  <si>
    <t>选粉机</t>
  </si>
  <si>
    <t>华新水泥（赤壁）有限公司</t>
  </si>
  <si>
    <t>湖北省赤壁市中伙镇</t>
  </si>
  <si>
    <t>荆门市八里干沟兴鑫钙业有限公司</t>
  </si>
  <si>
    <t>荆门市东宝区子陵镇龙泉村</t>
  </si>
  <si>
    <t>武汉亚鑫水泥有限公司</t>
  </si>
  <si>
    <r>
      <rPr>
        <sz val="11"/>
        <color theme="1"/>
        <rFont val="等线"/>
        <charset val="134"/>
        <scheme val="minor"/>
      </rPr>
      <t>武汉市江夏区纸坊街将军山纸乌路</t>
    </r>
    <r>
      <rPr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134"/>
      </rPr>
      <t>2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</si>
  <si>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武汉市江夏区纸坊街将军山纸乌路</t>
    </r>
    <r>
      <rPr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134"/>
      </rPr>
      <t>3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</si>
  <si>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武汉市江夏区纸坊街将军山纸乌路</t>
    </r>
    <r>
      <rPr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134"/>
      </rPr>
      <t>4</t>
    </r>
    <r>
      <rPr>
        <sz val="12"/>
        <color theme="1"/>
        <rFont val="仿宋_GB2312"/>
        <charset val="134"/>
      </rPr>
      <t>号</t>
    </r>
  </si>
  <si>
    <t>湖北荆工水泥股份有限公司</t>
  </si>
  <si>
    <t>荆门市东宝区子陵铺镇子陵村六组</t>
  </si>
  <si>
    <t>收尘器</t>
  </si>
  <si>
    <t>葛洲坝荆门水泥有限公司</t>
  </si>
  <si>
    <t>荆门市东宝区子陵铺镇建泉村</t>
  </si>
  <si>
    <t>湖北京兰水泥集团有限公司</t>
  </si>
  <si>
    <t>湖北省京山县永兴镇盘堰村</t>
  </si>
  <si>
    <t>生料立磨</t>
  </si>
  <si>
    <r>
      <rPr>
        <sz val="11"/>
        <color theme="1"/>
        <rFont val="等线"/>
        <charset val="134"/>
        <scheme val="minor"/>
      </rPr>
      <t>湖北亚东水泥</t>
    </r>
    <r>
      <rPr>
        <sz val="12"/>
        <color theme="1"/>
        <rFont val="Times New Roman"/>
        <charset val="134"/>
      </rPr>
      <t>有限公司</t>
    </r>
  </si>
  <si>
    <r>
      <rPr>
        <sz val="11"/>
        <color theme="1"/>
        <rFont val="等线"/>
        <charset val="134"/>
        <scheme val="minor"/>
      </rPr>
      <t>武汉市新洲阳逻经济开发区平江大道</t>
    </r>
    <r>
      <rPr>
        <sz val="12"/>
        <color theme="1"/>
        <rFont val="Times New Roman"/>
        <charset val="134"/>
      </rPr>
      <t>176</t>
    </r>
    <r>
      <rPr>
        <sz val="12"/>
        <color theme="1"/>
        <rFont val="Times New Roman"/>
        <charset val="134"/>
      </rPr>
      <t>号</t>
    </r>
  </si>
  <si>
    <r>
      <rPr>
        <sz val="11"/>
        <color theme="1"/>
        <rFont val="等线"/>
        <charset val="134"/>
        <scheme val="minor"/>
      </rPr>
      <t>武汉市新洲阳逻经济开发区平江大道</t>
    </r>
    <r>
      <rPr>
        <sz val="12"/>
        <color theme="1"/>
        <rFont val="Times New Roman"/>
        <charset val="134"/>
      </rPr>
      <t>177</t>
    </r>
    <r>
      <rPr>
        <sz val="12"/>
        <color theme="1"/>
        <rFont val="Times New Roman"/>
        <charset val="134"/>
      </rPr>
      <t>号</t>
    </r>
  </si>
  <si>
    <r>
      <rPr>
        <sz val="11"/>
        <color theme="1"/>
        <rFont val="等线"/>
        <charset val="134"/>
        <scheme val="minor"/>
      </rPr>
      <t>武汉市新洲阳逻经济开发区平江大道</t>
    </r>
    <r>
      <rPr>
        <sz val="12"/>
        <color theme="1"/>
        <rFont val="Times New Roman"/>
        <charset val="134"/>
      </rPr>
      <t>178</t>
    </r>
    <r>
      <rPr>
        <sz val="12"/>
        <color theme="1"/>
        <rFont val="Times New Roman"/>
        <charset val="134"/>
      </rPr>
      <t>号</t>
    </r>
  </si>
  <si>
    <t>葛洲坝钟祥水泥有限公司</t>
  </si>
  <si>
    <t>湖北省钟祥市双河镇钟双大道</t>
  </si>
  <si>
    <t>华新水泥（鄂州）有限公司</t>
  </si>
  <si>
    <t>打散机</t>
  </si>
  <si>
    <t>华新水泥股份有限公司黄石分公司</t>
  </si>
  <si>
    <r>
      <rPr>
        <sz val="11"/>
        <color theme="1"/>
        <rFont val="等线"/>
        <charset val="134"/>
        <scheme val="minor"/>
      </rPr>
      <t>黄石市西塞山区沿湖路</t>
    </r>
    <r>
      <rPr>
        <sz val="12"/>
        <color theme="1"/>
        <rFont val="Times New Roman"/>
        <charset val="134"/>
      </rPr>
      <t>503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</si>
  <si>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黄石市西塞山区沿湖路</t>
    </r>
    <r>
      <rPr>
        <sz val="12"/>
        <color theme="1"/>
        <rFont val="Times New Roman"/>
        <charset val="134"/>
      </rPr>
      <t>504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</si>
  <si>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黄石市西塞山区沿湖路</t>
    </r>
    <r>
      <rPr>
        <sz val="12"/>
        <color theme="1"/>
        <rFont val="Times New Roman"/>
        <charset val="134"/>
      </rPr>
      <t>505</t>
    </r>
    <r>
      <rPr>
        <sz val="12"/>
        <color theme="1"/>
        <rFont val="仿宋_GB2312"/>
        <charset val="134"/>
      </rPr>
      <t>号</t>
    </r>
  </si>
  <si>
    <t>阳新娲石水泥有限公司</t>
  </si>
  <si>
    <t>黄石市阳新县富池镇老渡口</t>
  </si>
  <si>
    <t>华新水泥（大冶）有限公司</t>
  </si>
  <si>
    <t>黄石市大冶市还地桥镇屏山村</t>
  </si>
  <si>
    <t>大冶尖峰水泥有限公司</t>
  </si>
  <si>
    <r>
      <rPr>
        <sz val="11"/>
        <color theme="1"/>
        <rFont val="等线"/>
        <charset val="134"/>
        <scheme val="minor"/>
      </rPr>
      <t>黄石市</t>
    </r>
    <r>
      <rPr>
        <sz val="12"/>
        <color theme="1"/>
        <rFont val="仿宋_GB2312"/>
        <charset val="134"/>
      </rPr>
      <t>大冶市柯道化</t>
    </r>
    <r>
      <rPr>
        <sz val="12"/>
        <color theme="1"/>
        <rFont val="Times New Roman"/>
        <charset val="134"/>
      </rPr>
      <t>35</t>
    </r>
    <r>
      <rPr>
        <sz val="12"/>
        <color theme="1"/>
        <rFont val="Times New Roman"/>
        <charset val="134"/>
      </rPr>
      <t>号</t>
    </r>
  </si>
  <si>
    <r>
      <rPr>
        <sz val="11"/>
        <color theme="1"/>
        <rFont val="等线"/>
        <charset val="134"/>
        <scheme val="minor"/>
      </rPr>
      <t>黄石市</t>
    </r>
    <r>
      <rPr>
        <sz val="12"/>
        <color theme="1"/>
        <rFont val="仿宋_GB2312"/>
        <charset val="134"/>
      </rPr>
      <t>大冶市柯道化</t>
    </r>
    <r>
      <rPr>
        <sz val="12"/>
        <color theme="1"/>
        <rFont val="Times New Roman"/>
        <charset val="134"/>
      </rPr>
      <t>36</t>
    </r>
    <r>
      <rPr>
        <sz val="12"/>
        <color theme="1"/>
        <rFont val="Times New Roman"/>
        <charset val="134"/>
      </rPr>
      <t>号</t>
    </r>
  </si>
  <si>
    <r>
      <rPr>
        <sz val="11"/>
        <color theme="1"/>
        <rFont val="等线"/>
        <charset val="134"/>
        <scheme val="minor"/>
      </rPr>
      <t>黄石市</t>
    </r>
    <r>
      <rPr>
        <sz val="12"/>
        <color theme="1"/>
        <rFont val="仿宋_GB2312"/>
        <charset val="134"/>
      </rPr>
      <t>大冶市柯道化</t>
    </r>
    <r>
      <rPr>
        <sz val="12"/>
        <color theme="1"/>
        <rFont val="Times New Roman"/>
        <charset val="134"/>
      </rPr>
      <t>37</t>
    </r>
    <r>
      <rPr>
        <sz val="12"/>
        <color theme="1"/>
        <rFont val="Times New Roman"/>
        <charset val="134"/>
      </rPr>
      <t>号</t>
    </r>
  </si>
  <si>
    <t>华新水泥（阳新）有限公司</t>
  </si>
  <si>
    <r>
      <rPr>
        <sz val="11"/>
        <color theme="1"/>
        <rFont val="等线"/>
        <charset val="134"/>
        <scheme val="minor"/>
      </rPr>
      <t>黄石市阳新县韦源口镇华新路1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</si>
  <si>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黄石市阳新县韦源口镇华新路2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</si>
  <si>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黄石市阳新县韦源口镇华新路3</t>
    </r>
    <r>
      <rPr>
        <sz val="12"/>
        <color theme="1"/>
        <rFont val="仿宋_GB2312"/>
        <charset val="134"/>
      </rPr>
      <t>号</t>
    </r>
  </si>
  <si>
    <t>黄石四棵水泥厂</t>
  </si>
  <si>
    <r>
      <rPr>
        <sz val="11"/>
        <color theme="1"/>
        <rFont val="等线"/>
        <charset val="134"/>
        <scheme val="minor"/>
      </rPr>
      <t>黄石市</t>
    </r>
    <r>
      <rPr>
        <sz val="12"/>
        <color theme="1"/>
        <rFont val="仿宋_GB2312"/>
        <charset val="134"/>
      </rPr>
      <t>大冶市汪仁龙泉寺</t>
    </r>
  </si>
  <si>
    <r>
      <rPr>
        <sz val="11"/>
        <color theme="1"/>
        <rFont val="等线"/>
        <charset val="134"/>
        <scheme val="minor"/>
      </rPr>
      <t>黄石市西塞山区沿湖路503</t>
    </r>
    <r>
      <rPr>
        <sz val="10.5"/>
        <color theme="1"/>
        <rFont val="宋体"/>
        <charset val="134"/>
      </rPr>
      <t>号</t>
    </r>
  </si>
  <si>
    <t>预热器</t>
  </si>
  <si>
    <t>阳新县富池镇老渡口</t>
  </si>
  <si>
    <r>
      <rPr>
        <sz val="10.5"/>
        <color theme="1"/>
        <rFont val="Times New Roman"/>
        <charset val="134"/>
      </rPr>
      <t>湖北省大冶市还地桥镇屏山新村68</t>
    </r>
    <r>
      <rPr>
        <sz val="10.5"/>
        <color theme="1"/>
        <rFont val="宋体"/>
        <charset val="134"/>
      </rPr>
      <t>号</t>
    </r>
  </si>
  <si>
    <t>湖北省大冶市保安镇永光村</t>
  </si>
  <si>
    <r>
      <rPr>
        <sz val="10.5"/>
        <color theme="1"/>
        <rFont val="Times New Roman"/>
        <charset val="134"/>
      </rPr>
      <t>华新水泥（</t>
    </r>
    <r>
      <rPr>
        <sz val="10.5"/>
        <color theme="1"/>
        <rFont val="宋体"/>
        <charset val="134"/>
      </rPr>
      <t>阳新</t>
    </r>
    <r>
      <rPr>
        <sz val="10.5"/>
        <color theme="1"/>
        <rFont val="Times New Roman"/>
        <charset val="134"/>
      </rPr>
      <t>）有限公司</t>
    </r>
  </si>
  <si>
    <t>湖北省黄石市阳新县韦源口镇华新路1号</t>
  </si>
  <si>
    <r>
      <rPr>
        <sz val="10.5"/>
        <color theme="1"/>
        <rFont val="Times New Roman"/>
        <charset val="134"/>
      </rPr>
      <t>黄石</t>
    </r>
    <r>
      <rPr>
        <sz val="10.5"/>
        <color theme="1"/>
        <rFont val="宋体"/>
        <charset val="134"/>
      </rPr>
      <t>市</t>
    </r>
    <r>
      <rPr>
        <sz val="10.5"/>
        <color theme="1"/>
        <rFont val="Times New Roman"/>
        <charset val="134"/>
      </rPr>
      <t>四棵水泥厂</t>
    </r>
  </si>
  <si>
    <t>黄石市大冶市汪仁龙泉寺</t>
  </si>
  <si>
    <t>竹溪瑞城水泥有限公司</t>
  </si>
  <si>
    <t>十堰市竹溪县水坪镇金铜岭</t>
  </si>
  <si>
    <t>除尘器</t>
  </si>
  <si>
    <t>葛洲坝嘉鱼水泥有限公司</t>
  </si>
  <si>
    <t>咸宁市嘉鱼县高铁岭镇石泉村</t>
  </si>
  <si>
    <t>湖北省赤壁市中伙铺镇南山村</t>
  </si>
  <si>
    <t>空气压缩机</t>
  </si>
  <si>
    <t>风扫球磨机</t>
  </si>
  <si>
    <t>风扫煤磨机</t>
  </si>
  <si>
    <t>成品磨</t>
  </si>
  <si>
    <t>原料立磨</t>
  </si>
  <si>
    <t>蓖冷机</t>
  </si>
  <si>
    <t>提升机</t>
  </si>
  <si>
    <t>输送机</t>
  </si>
  <si>
    <r>
      <rPr>
        <sz val="11"/>
        <color theme="1"/>
        <rFont val="等线"/>
        <charset val="134"/>
        <scheme val="minor"/>
      </rPr>
      <t>华新水泥</t>
    </r>
    <r>
      <rPr>
        <sz val="12"/>
        <color theme="1"/>
        <rFont val="仿宋_GB2312"/>
        <charset val="134"/>
      </rPr>
      <t>（襄阳）有限公司</t>
    </r>
  </si>
  <si>
    <r>
      <rPr>
        <sz val="11"/>
        <color theme="1"/>
        <rFont val="等线"/>
        <charset val="134"/>
        <scheme val="minor"/>
      </rPr>
      <t>湖北省南漳县华新大道</t>
    </r>
    <r>
      <rPr>
        <sz val="12"/>
        <color theme="1"/>
        <rFont val="Times New Roman"/>
        <charset val="134"/>
      </rPr>
      <t>1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</si>
  <si>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湖北省南漳县华新大道</t>
    </r>
    <r>
      <rPr>
        <sz val="12"/>
        <color theme="1"/>
        <rFont val="Times New Roman"/>
        <charset val="134"/>
      </rPr>
      <t>2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</si>
  <si>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湖北省南漳县华新大道</t>
    </r>
    <r>
      <rPr>
        <sz val="12"/>
        <color theme="1"/>
        <rFont val="Times New Roman"/>
        <charset val="134"/>
      </rPr>
      <t>3</t>
    </r>
    <r>
      <rPr>
        <sz val="12"/>
        <color theme="1"/>
        <rFont val="仿宋_GB2312"/>
        <charset val="134"/>
      </rPr>
      <t>号</t>
    </r>
  </si>
  <si>
    <t>葛洲坝老河口水泥有限公司</t>
  </si>
  <si>
    <r>
      <rPr>
        <sz val="11"/>
        <color theme="1"/>
        <rFont val="等线"/>
        <charset val="134"/>
        <scheme val="minor"/>
      </rPr>
      <t>湖北省老河口</t>
    </r>
    <r>
      <rPr>
        <sz val="12"/>
        <color theme="1"/>
        <rFont val="仿宋_GB2312"/>
        <charset val="134"/>
      </rPr>
      <t>市洪山嘴</t>
    </r>
  </si>
  <si>
    <t>葛洲坝宜城水泥有限公司</t>
  </si>
  <si>
    <r>
      <rPr>
        <sz val="11"/>
        <color theme="1"/>
        <rFont val="等线"/>
        <charset val="134"/>
        <scheme val="minor"/>
      </rPr>
      <t>湖北省宜城</t>
    </r>
    <r>
      <rPr>
        <sz val="12"/>
        <color theme="1"/>
        <rFont val="仿宋_GB2312"/>
        <charset val="134"/>
      </rPr>
      <t>市板桥店镇莺河村</t>
    </r>
  </si>
  <si>
    <t>湖北水镜水泥股份有限公司</t>
  </si>
  <si>
    <t>南漳县城关镇胡营沐浴狮子岩</t>
  </si>
  <si>
    <t>湖北世纪新峰雷山水泥有限公司</t>
  </si>
  <si>
    <t>鄂州市碧石渡镇虹桥村</t>
  </si>
  <si>
    <t>湖北省鄂州市华容区段店镇</t>
  </si>
  <si>
    <t>矿渣立磨</t>
  </si>
  <si>
    <r>
      <rPr>
        <sz val="11"/>
        <color theme="1"/>
        <rFont val="等线"/>
        <charset val="134"/>
        <scheme val="minor"/>
      </rPr>
      <t>宜昌花林水泥</t>
    </r>
    <r>
      <rPr>
        <sz val="12"/>
        <color theme="1"/>
        <rFont val="仿宋"/>
        <charset val="134"/>
      </rPr>
      <t>有限公司</t>
    </r>
  </si>
  <si>
    <t>湖北宜昌远安县花林寺镇三孔村</t>
  </si>
  <si>
    <t>葛洲坝兴山水泥有限公司</t>
  </si>
  <si>
    <t>兴山县峡口镇平邑口工业园</t>
  </si>
  <si>
    <r>
      <rPr>
        <sz val="11"/>
        <color theme="1"/>
        <rFont val="等线"/>
        <charset val="134"/>
        <scheme val="minor"/>
      </rPr>
      <t>408.89</t>
    </r>
    <r>
      <rPr>
        <sz val="10.5"/>
        <color theme="1"/>
        <rFont val="Times New Roman"/>
        <charset val="134"/>
      </rPr>
      <t> </t>
    </r>
  </si>
  <si>
    <r>
      <rPr>
        <sz val="11"/>
        <color theme="1"/>
        <rFont val="等线"/>
        <charset val="134"/>
        <scheme val="minor"/>
      </rPr>
      <t>华新水泥</t>
    </r>
    <r>
      <rPr>
        <sz val="12"/>
        <color theme="1"/>
        <rFont val="微软雅黑"/>
        <charset val="134"/>
      </rPr>
      <t>（</t>
    </r>
    <r>
      <rPr>
        <sz val="12"/>
        <color theme="1"/>
        <rFont val="微软雅黑"/>
        <charset val="134"/>
      </rPr>
      <t>秭归</t>
    </r>
    <r>
      <rPr>
        <sz val="12"/>
        <color theme="1"/>
        <rFont val="微软雅黑"/>
        <charset val="134"/>
      </rPr>
      <t>）</t>
    </r>
    <r>
      <rPr>
        <sz val="12"/>
        <color theme="1"/>
        <rFont val="微软雅黑"/>
        <charset val="134"/>
      </rPr>
      <t>有限公司</t>
    </r>
  </si>
  <si>
    <t>湖北省秭归县郭家坝镇郭家坝村</t>
  </si>
  <si>
    <t>华新水泥（长阳）有限公司</t>
  </si>
  <si>
    <t>湖北省宜昌市长阳龙舟坪镇白氏坪村二组</t>
  </si>
  <si>
    <t>华新水泥（宜昌）有限公司</t>
  </si>
  <si>
    <r>
      <rPr>
        <sz val="11"/>
        <color theme="1"/>
        <rFont val="等线"/>
        <charset val="134"/>
        <scheme val="minor"/>
      </rPr>
      <t>湖北省宜都市枝城镇华新路</t>
    </r>
    <r>
      <rPr>
        <sz val="12"/>
        <color theme="1"/>
        <rFont val="Times New Roman"/>
        <charset val="134"/>
      </rPr>
      <t>1</t>
    </r>
    <r>
      <rPr>
        <sz val="12"/>
        <color theme="1"/>
        <rFont val="仿宋"/>
        <charset val="134"/>
      </rPr>
      <t>号</t>
    </r>
  </si>
  <si>
    <t>葛洲坝当阳水泥有限公司</t>
  </si>
  <si>
    <r>
      <rPr>
        <sz val="11"/>
        <color theme="1"/>
        <rFont val="等线"/>
        <charset val="134"/>
        <scheme val="minor"/>
      </rPr>
      <t>湖北省宜昌市当阳</t>
    </r>
    <r>
      <rPr>
        <sz val="12"/>
        <color theme="1"/>
        <rFont val="仿宋"/>
        <charset val="134"/>
      </rPr>
      <t>办事处三桥村</t>
    </r>
  </si>
  <si>
    <t>黄冈亚东水泥有限公司</t>
  </si>
  <si>
    <r>
      <rPr>
        <sz val="11"/>
        <color theme="1"/>
        <rFont val="等线"/>
        <charset val="134"/>
        <scheme val="minor"/>
      </rPr>
      <t>湖北省武穴市田镇办事处田镇新街</t>
    </r>
    <r>
      <rPr>
        <sz val="12"/>
        <color theme="1"/>
        <rFont val="Times New Roman"/>
        <charset val="134"/>
      </rPr>
      <t>13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</si>
  <si>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湖北省武穴市田镇办事处田镇新街</t>
    </r>
    <r>
      <rPr>
        <sz val="12"/>
        <color theme="1"/>
        <rFont val="Times New Roman"/>
        <charset val="134"/>
      </rPr>
      <t>14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</si>
  <si>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湖北省武穴市田镇办事处田镇新街</t>
    </r>
    <r>
      <rPr>
        <sz val="12"/>
        <color theme="1"/>
        <rFont val="Times New Roman"/>
        <charset val="134"/>
      </rPr>
      <t>15</t>
    </r>
    <r>
      <rPr>
        <sz val="12"/>
        <color theme="1"/>
        <rFont val="仿宋_GB2312"/>
        <charset val="134"/>
      </rPr>
      <t>号</t>
    </r>
  </si>
  <si>
    <t>华新水泥（武穴）有限公司</t>
  </si>
  <si>
    <r>
      <rPr>
        <sz val="11"/>
        <color theme="1"/>
        <rFont val="等线"/>
        <charset val="134"/>
        <scheme val="minor"/>
      </rPr>
      <t>湖北省黄冈市武穴市田镇华新路1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</si>
  <si>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湖北省黄冈市武穴市田镇华新路2</t>
    </r>
    <r>
      <rPr>
        <sz val="12"/>
        <color theme="1"/>
        <rFont val="仿宋_GB2312"/>
        <charset val="134"/>
      </rPr>
      <t>号</t>
    </r>
  </si>
  <si>
    <r>
      <rPr>
        <sz val="11"/>
        <color theme="1"/>
        <rFont val="等线"/>
        <charset val="134"/>
        <scheme val="minor"/>
      </rPr>
      <t>湖北省黄冈市武穴市田镇华新路3</t>
    </r>
    <r>
      <rPr>
        <sz val="12"/>
        <color theme="1"/>
        <rFont val="仿宋_GB2312"/>
        <charset val="134"/>
      </rPr>
      <t>号</t>
    </r>
  </si>
  <si>
    <t>湖北省荆门市东宝区子陵铺镇</t>
  </si>
  <si>
    <r>
      <rPr>
        <sz val="11"/>
        <color theme="1"/>
        <rFont val="等线"/>
        <charset val="134"/>
        <scheme val="minor"/>
      </rPr>
      <t>葛洲坝钟祥</t>
    </r>
    <r>
      <rPr>
        <sz val="12"/>
        <color theme="1"/>
        <rFont val="Times New Roman"/>
        <charset val="134"/>
      </rPr>
      <t>水泥有限公司</t>
    </r>
  </si>
  <si>
    <r>
      <rPr>
        <sz val="11"/>
        <color theme="1"/>
        <rFont val="等线"/>
        <charset val="134"/>
        <scheme val="minor"/>
      </rPr>
      <t>湖北省</t>
    </r>
    <r>
      <rPr>
        <sz val="11"/>
        <color theme="1"/>
        <rFont val="宋体"/>
        <charset val="134"/>
      </rPr>
      <t>钟祥市双河镇钟双大道</t>
    </r>
  </si>
  <si>
    <r>
      <rPr>
        <sz val="11"/>
        <color theme="1"/>
        <rFont val="等线"/>
        <charset val="134"/>
        <scheme val="minor"/>
      </rPr>
      <t>湖北省荆门市</t>
    </r>
    <r>
      <rPr>
        <sz val="12"/>
        <color theme="1"/>
        <rFont val="仿宋"/>
        <charset val="134"/>
      </rPr>
      <t>东宝区子陵铺镇子陵村六组</t>
    </r>
  </si>
  <si>
    <t>辊压机电机</t>
  </si>
  <si>
    <t>破碎主电机</t>
  </si>
  <si>
    <t>煤磨主电机</t>
  </si>
  <si>
    <t>华新金龙水泥（郧县）有限公司</t>
  </si>
  <si>
    <t>湖北省十堰市郧县茶店镇</t>
  </si>
  <si>
    <t>恩施州腾龙水泥有限责任公司</t>
  </si>
  <si>
    <t>恩施</t>
  </si>
  <si>
    <r>
      <rPr>
        <sz val="11"/>
        <color theme="1"/>
        <rFont val="等线"/>
        <charset val="134"/>
        <scheme val="minor"/>
      </rPr>
      <t>葛洲坝</t>
    </r>
    <r>
      <rPr>
        <sz val="11"/>
        <color theme="1"/>
        <rFont val="宋体"/>
        <charset val="134"/>
      </rPr>
      <t>荆门水泥有限公司</t>
    </r>
  </si>
  <si>
    <t>荆门</t>
  </si>
  <si>
    <r>
      <rPr>
        <sz val="11"/>
        <color theme="1"/>
        <rFont val="等线"/>
        <charset val="134"/>
        <scheme val="minor"/>
      </rPr>
      <t>湖北</t>
    </r>
    <r>
      <rPr>
        <sz val="11"/>
        <color rgb="FF000000"/>
        <rFont val="宋体"/>
        <charset val="134"/>
      </rPr>
      <t>荆工水泥股份有限公司</t>
    </r>
  </si>
  <si>
    <t>湖北省荆门市</t>
  </si>
  <si>
    <t>湖北鄂州</t>
  </si>
  <si>
    <t>华新水泥（恩施）有限公司</t>
  </si>
  <si>
    <t>建始县泰丰水泥有限责任公司</t>
  </si>
  <si>
    <t>当阳市玉泉办事处三桥村</t>
  </si>
  <si>
    <t>兴山县峡口镇平邑口村</t>
  </si>
  <si>
    <r>
      <rPr>
        <sz val="11"/>
        <color theme="1"/>
        <rFont val="宋体"/>
        <charset val="134"/>
      </rPr>
      <t>湖北省宜都市枝城镇华新路</t>
    </r>
    <r>
      <rPr>
        <sz val="11"/>
        <color theme="1"/>
        <rFont val="Times New Roman"/>
        <charset val="134"/>
      </rPr>
      <t>1</t>
    </r>
    <r>
      <rPr>
        <sz val="11"/>
        <color theme="1"/>
        <rFont val="仿宋_GB2312"/>
        <charset val="134"/>
      </rPr>
      <t>号</t>
    </r>
  </si>
  <si>
    <t>球磨</t>
  </si>
  <si>
    <t>华新水泥（秭归）有限公司</t>
  </si>
  <si>
    <t>湖北省宜昌市秭归县郭家坝镇郭家坝村</t>
  </si>
  <si>
    <t>宜昌花林水泥有限公司</t>
  </si>
  <si>
    <t>华新水泥（鹤峰）民族建材有限公司</t>
  </si>
  <si>
    <t>鹤峰县太平镇肖家坪</t>
  </si>
  <si>
    <t>恩施市芭蕉乡天桥村沙子坡</t>
  </si>
  <si>
    <t>原料粉磨</t>
  </si>
  <si>
    <t>葛洲坝松滋水泥有限公司</t>
  </si>
  <si>
    <t>松滋市刘家场镇洛河大道8号</t>
  </si>
  <si>
    <t>湖北荆州</t>
  </si>
  <si>
    <t>华新金龙水泥（郧县）公司</t>
  </si>
  <si>
    <t>湖北十堰</t>
  </si>
  <si>
    <t>湖北武当水泥有限公司</t>
  </si>
  <si>
    <t>湖北省咸宁市嘉鱼县高铁岭镇石泉村</t>
  </si>
  <si>
    <r>
      <rPr>
        <sz val="11"/>
        <color theme="1"/>
        <rFont val="等线"/>
        <charset val="134"/>
        <scheme val="minor"/>
      </rPr>
      <t>葛洲坝</t>
    </r>
    <r>
      <rPr>
        <sz val="11"/>
        <color theme="1"/>
        <rFont val="宋体"/>
        <charset val="134"/>
      </rPr>
      <t>嘉鱼水泥有限公司</t>
    </r>
  </si>
  <si>
    <t>咸宁</t>
  </si>
  <si>
    <t>恩施市六角办事处高桥坝</t>
  </si>
  <si>
    <t>华新水泥（房县）有限公司</t>
  </si>
  <si>
    <t>湖北省十堰市</t>
  </si>
  <si>
    <r>
      <rPr>
        <sz val="11"/>
        <color theme="1"/>
        <rFont val="等线"/>
        <charset val="134"/>
        <scheme val="minor"/>
      </rPr>
      <t>丹江口市新港金家湾工业园</t>
    </r>
    <r>
      <rPr>
        <sz val="12"/>
        <color theme="1"/>
        <rFont val="Times New Roman"/>
        <charset val="134"/>
      </rPr>
      <t>12</t>
    </r>
    <r>
      <rPr>
        <sz val="12"/>
        <color theme="1"/>
        <rFont val="仿宋"/>
        <charset val="134"/>
      </rPr>
      <t>号</t>
    </r>
  </si>
  <si>
    <t>旋窑</t>
  </si>
  <si>
    <t>武汉武钢华新水泥有限责任公司</t>
  </si>
  <si>
    <r>
      <rPr>
        <sz val="11"/>
        <color theme="1"/>
        <rFont val="等线"/>
        <charset val="134"/>
        <scheme val="minor"/>
      </rPr>
      <t>武汉市青山区工人村路239</t>
    </r>
    <r>
      <rPr>
        <sz val="12"/>
        <color theme="1"/>
        <rFont val="仿宋"/>
        <charset val="134"/>
      </rPr>
      <t>号</t>
    </r>
  </si>
  <si>
    <r>
      <rPr>
        <sz val="11"/>
        <color theme="1"/>
        <rFont val="等线"/>
        <charset val="134"/>
        <scheme val="minor"/>
      </rPr>
      <t>湖北省恩施</t>
    </r>
    <r>
      <rPr>
        <sz val="12"/>
        <color theme="1"/>
        <rFont val="仿宋"/>
        <charset val="134"/>
      </rPr>
      <t>州</t>
    </r>
    <r>
      <rPr>
        <sz val="12"/>
        <color theme="1"/>
        <rFont val="Times New Roman"/>
        <charset val="134"/>
      </rPr>
      <t>建始县长</t>
    </r>
    <r>
      <rPr>
        <sz val="12"/>
        <color theme="1"/>
        <rFont val="仿宋"/>
        <charset val="134"/>
      </rPr>
      <t>梁</t>
    </r>
    <r>
      <rPr>
        <sz val="12"/>
        <color theme="1"/>
        <rFont val="Times New Roman"/>
        <charset val="134"/>
      </rPr>
      <t>乡黄土坎村四组</t>
    </r>
  </si>
  <si>
    <t>娲石水泥集团有限公司</t>
  </si>
  <si>
    <r>
      <rPr>
        <sz val="11"/>
        <color theme="1"/>
        <rFont val="等线"/>
        <charset val="134"/>
        <scheme val="minor"/>
      </rPr>
      <t>武汉市新洲区阳逻经济开发区汽渡路190</t>
    </r>
    <r>
      <rPr>
        <sz val="12"/>
        <color theme="1"/>
        <rFont val="Times New Roman"/>
        <charset val="134"/>
      </rPr>
      <t>号</t>
    </r>
  </si>
  <si>
    <t>武汉亚东水泥有限公司</t>
  </si>
  <si>
    <t>武汉市东西湖区吴家山台商投资区慈惠大道</t>
  </si>
  <si>
    <t>湖北省京山新生水泥厂</t>
  </si>
  <si>
    <t>湖北省京山县雁门口镇太和村</t>
  </si>
  <si>
    <t>序号</t>
  </si>
  <si>
    <t>年度</t>
  </si>
  <si>
    <t>主要产品</t>
  </si>
  <si>
    <t>产品产量</t>
  </si>
  <si>
    <t>产量单位</t>
  </si>
  <si>
    <t>用电量(MWh)</t>
  </si>
  <si>
    <t>烟煤消耗量(吨)</t>
  </si>
  <si>
    <t>无烟煤消耗量(吨)</t>
  </si>
  <si>
    <t>褐煤消耗量(吨)</t>
  </si>
  <si>
    <t>柴油消耗量(吨)</t>
  </si>
  <si>
    <t>重油(燃料油)消耗量t</t>
  </si>
  <si>
    <t>汽油消耗量(吨)</t>
  </si>
  <si>
    <t>液化石油气消耗量(t)</t>
  </si>
  <si>
    <t>天然气消耗量(万Nm3)</t>
  </si>
  <si>
    <t>石灰石消耗量(吨)</t>
  </si>
  <si>
    <t>品种</t>
  </si>
  <si>
    <t>净购入热力(GJ)</t>
  </si>
  <si>
    <t>废水量(m3)</t>
  </si>
  <si>
    <t>废水厌氧处理去除的有机物总量(TOW)</t>
  </si>
  <si>
    <t>以污泥方式清除掉的有机物总量(千克COD)</t>
  </si>
  <si>
    <t>外购/外输电力间接排放(tCO2)</t>
  </si>
  <si>
    <t>净购入热力排放量(tCO2)</t>
  </si>
  <si>
    <t>化石燃料燃烧直接排放(tCO2)</t>
  </si>
  <si>
    <t>生产过程排放量(tCO2)</t>
  </si>
  <si>
    <t>废水处理的碳排放(tCO2)</t>
  </si>
  <si>
    <t>总排放量(tCO2)</t>
  </si>
  <si>
    <t>文化纸</t>
  </si>
  <si>
    <t>机制纸</t>
  </si>
  <si>
    <t>1155000t</t>
  </si>
  <si>
    <t>1603000t</t>
  </si>
  <si>
    <t>高强瓦楞纸</t>
  </si>
  <si>
    <t>纸和纸板</t>
  </si>
  <si>
    <t>3862077t</t>
  </si>
  <si>
    <t>3996711t</t>
  </si>
  <si>
    <t>4053624t</t>
  </si>
  <si>
    <t>瓦楞原纸</t>
  </si>
  <si>
    <t>瓦楞纸</t>
  </si>
  <si>
    <t>原纸及纸制品</t>
  </si>
  <si>
    <t>涂布白卡纸</t>
  </si>
  <si>
    <t>烟煤消耗量（吨）</t>
  </si>
  <si>
    <t>柴油消耗量（吨）</t>
  </si>
  <si>
    <t>汽油消耗量（吨）</t>
  </si>
  <si>
    <t>LPG消耗量（吨）</t>
  </si>
  <si>
    <t>煤焦油消耗量（吨）</t>
  </si>
  <si>
    <t>石油焦消耗量（吨）</t>
  </si>
  <si>
    <t>焦炉煤气消耗量（立方米）</t>
  </si>
  <si>
    <t>液化石油气消耗量（t）</t>
  </si>
  <si>
    <t>天然气消耗量（万Nm3）</t>
  </si>
  <si>
    <t>石灰石消耗量（吨）</t>
  </si>
  <si>
    <t>碳粉消耗量（吨）</t>
  </si>
  <si>
    <t>方解石消耗量（吨）</t>
  </si>
  <si>
    <t>白云石消耗量（吨）</t>
  </si>
  <si>
    <t>纯碱消耗量（吨）</t>
  </si>
  <si>
    <t>碳酸钡消耗量（吨）</t>
  </si>
  <si>
    <t>外购/外输电力间接排放（tCO2)</t>
  </si>
  <si>
    <t>化石燃料燃烧直接排放（tCO2)</t>
  </si>
  <si>
    <t>原料配料中碳粉氧化的碳排放（tCO2)</t>
  </si>
  <si>
    <t>原料分解产生的碳排放（tCO2)</t>
  </si>
  <si>
    <t>总排放量（tCO2)</t>
  </si>
  <si>
    <t>平板玻璃</t>
  </si>
  <si>
    <t>万重量箱</t>
  </si>
  <si>
    <t>白玻165,009</t>
  </si>
  <si>
    <t>超白玻31,066</t>
  </si>
  <si>
    <t>白玻242,582</t>
  </si>
  <si>
    <t>超白玻233,082</t>
  </si>
  <si>
    <t>白玻234,162</t>
  </si>
  <si>
    <t>超白玻232,981</t>
  </si>
  <si>
    <r>
      <rPr>
        <sz val="11"/>
        <color theme="1"/>
        <rFont val="宋体"/>
        <charset val="134"/>
      </rPr>
      <t>产品产量</t>
    </r>
  </si>
  <si>
    <r>
      <rPr>
        <sz val="11"/>
        <color theme="1"/>
        <rFont val="宋体"/>
        <charset val="134"/>
      </rPr>
      <t>用煤量（吨）</t>
    </r>
  </si>
  <si>
    <r>
      <rPr>
        <sz val="11"/>
        <color theme="1"/>
        <rFont val="宋体"/>
        <charset val="134"/>
      </rPr>
      <t>外购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外输电力间接排放</t>
    </r>
  </si>
  <si>
    <r>
      <rPr>
        <sz val="11"/>
        <color theme="1"/>
        <rFont val="宋体"/>
        <charset val="134"/>
      </rPr>
      <t>直接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间接</t>
    </r>
  </si>
  <si>
    <r>
      <rPr>
        <sz val="11"/>
        <color theme="1"/>
        <rFont val="宋体"/>
        <charset val="134"/>
      </rPr>
      <t>湖北亚细亚陶瓷有限公司</t>
    </r>
  </si>
  <si>
    <r>
      <rPr>
        <sz val="11"/>
        <color theme="1"/>
        <rFont val="宋体"/>
        <charset val="134"/>
      </rPr>
      <t>制粉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压制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上釉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烧成</t>
    </r>
  </si>
  <si>
    <r>
      <rPr>
        <sz val="11"/>
        <color theme="1"/>
        <rFont val="宋体"/>
        <charset val="134"/>
      </rPr>
      <t>建筑陶瓷</t>
    </r>
  </si>
  <si>
    <r>
      <rPr>
        <sz val="11"/>
        <color rgb="FF000000"/>
        <rFont val="宋体"/>
        <charset val="134"/>
      </rPr>
      <t>吨</t>
    </r>
  </si>
  <si>
    <r>
      <rPr>
        <sz val="11"/>
        <color theme="1"/>
        <rFont val="宋体"/>
        <charset val="134"/>
      </rPr>
      <t>球磨机</t>
    </r>
  </si>
  <si>
    <r>
      <rPr>
        <sz val="11"/>
        <color theme="1"/>
        <rFont val="宋体"/>
        <charset val="134"/>
      </rPr>
      <t>窑炉（煤）</t>
    </r>
  </si>
  <si>
    <r>
      <rPr>
        <sz val="11"/>
        <color theme="1"/>
        <rFont val="宋体"/>
        <charset val="134"/>
      </rPr>
      <t>无烟煤</t>
    </r>
  </si>
  <si>
    <r>
      <rPr>
        <sz val="11"/>
        <color theme="1"/>
        <rFont val="宋体"/>
        <charset val="134"/>
      </rPr>
      <t>谷城钜沣陶瓷有限公司</t>
    </r>
  </si>
  <si>
    <r>
      <rPr>
        <sz val="11"/>
        <color theme="1"/>
        <rFont val="宋体"/>
        <charset val="134"/>
      </rPr>
      <t>煤气发生炉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座</t>
    </r>
  </si>
  <si>
    <r>
      <rPr>
        <sz val="11"/>
        <color theme="1"/>
        <rFont val="宋体"/>
        <charset val="134"/>
      </rPr>
      <t>烘干塔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座</t>
    </r>
  </si>
  <si>
    <r>
      <rPr>
        <sz val="11"/>
        <color theme="1"/>
        <rFont val="宋体"/>
        <charset val="134"/>
      </rPr>
      <t>辊道窑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台</t>
    </r>
  </si>
  <si>
    <r>
      <rPr>
        <sz val="11"/>
        <color theme="1"/>
        <rFont val="宋体"/>
        <charset val="134"/>
      </rPr>
      <t>烟煤</t>
    </r>
  </si>
  <si>
    <r>
      <rPr>
        <sz val="11"/>
        <color theme="1"/>
        <rFont val="宋体"/>
        <charset val="134"/>
      </rPr>
      <t>湖北鑫来利陶瓷发展有限公司</t>
    </r>
  </si>
  <si>
    <r>
      <rPr>
        <sz val="11"/>
        <color theme="1"/>
        <rFont val="Times New Roman"/>
        <charset val="134"/>
      </rPr>
      <t>302</t>
    </r>
    <r>
      <rPr>
        <sz val="11"/>
        <color theme="1"/>
        <rFont val="宋体"/>
        <charset val="134"/>
      </rPr>
      <t>吨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日煤气站</t>
    </r>
    <r>
      <rPr>
        <sz val="11"/>
        <color theme="1"/>
        <rFont val="Times New Roman"/>
        <charset val="134"/>
      </rPr>
      <t xml:space="preserve"> 2</t>
    </r>
    <r>
      <rPr>
        <sz val="11"/>
        <color theme="1"/>
        <rFont val="宋体"/>
        <charset val="134"/>
      </rPr>
      <t>台</t>
    </r>
  </si>
  <si>
    <r>
      <rPr>
        <sz val="11"/>
        <color theme="1"/>
        <rFont val="宋体"/>
        <charset val="134"/>
      </rPr>
      <t>喷雾干燥塔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台</t>
    </r>
  </si>
  <si>
    <r>
      <rPr>
        <sz val="11"/>
        <color theme="1"/>
        <rFont val="宋体"/>
        <charset val="134"/>
      </rPr>
      <t>湖北凯旋陶瓷有限公司</t>
    </r>
  </si>
  <si>
    <r>
      <rPr>
        <sz val="11"/>
        <color theme="1"/>
        <rFont val="Times New Roman"/>
        <charset val="134"/>
      </rPr>
      <t>432</t>
    </r>
    <r>
      <rPr>
        <sz val="11"/>
        <color theme="1"/>
        <rFont val="宋体"/>
        <charset val="134"/>
      </rPr>
      <t>吨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日煤气站</t>
    </r>
    <r>
      <rPr>
        <sz val="11"/>
        <color theme="1"/>
        <rFont val="Times New Roman"/>
        <charset val="134"/>
      </rPr>
      <t xml:space="preserve"> 4</t>
    </r>
    <r>
      <rPr>
        <sz val="11"/>
        <color theme="1"/>
        <rFont val="宋体"/>
        <charset val="134"/>
      </rPr>
      <t>座</t>
    </r>
  </si>
  <si>
    <r>
      <rPr>
        <sz val="11"/>
        <color rgb="FF000000"/>
        <rFont val="宋体"/>
        <charset val="134"/>
      </rPr>
      <t>湖北安广陶瓷有限公司</t>
    </r>
  </si>
  <si>
    <r>
      <rPr>
        <sz val="11"/>
        <color rgb="FF000000"/>
        <rFont val="宋体"/>
        <charset val="134"/>
      </rPr>
      <t>制粉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压制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上釉</t>
    </r>
    <r>
      <rPr>
        <sz val="11"/>
        <color rgb="FF000000"/>
        <rFont val="Times New Roman"/>
        <charset val="134"/>
      </rPr>
      <t>-</t>
    </r>
    <r>
      <rPr>
        <sz val="11"/>
        <color rgb="FF000000"/>
        <rFont val="宋体"/>
        <charset val="134"/>
      </rPr>
      <t>烧成</t>
    </r>
  </si>
  <si>
    <r>
      <rPr>
        <sz val="11"/>
        <color rgb="FF000000"/>
        <rFont val="宋体"/>
        <charset val="134"/>
      </rPr>
      <t>建筑陶瓷（内墙砖）</t>
    </r>
  </si>
  <si>
    <r>
      <rPr>
        <sz val="11"/>
        <color theme="1"/>
        <rFont val="宋体"/>
        <charset val="134"/>
      </rPr>
      <t>球磨机、给料机、破碎机</t>
    </r>
  </si>
  <si>
    <r>
      <rPr>
        <sz val="11"/>
        <color rgb="FF000000"/>
        <rFont val="宋体"/>
        <charset val="134"/>
      </rPr>
      <t>煤气</t>
    </r>
    <r>
      <rPr>
        <sz val="11"/>
        <color theme="1"/>
        <rFont val="宋体"/>
        <charset val="134"/>
      </rPr>
      <t>发生炉</t>
    </r>
    <r>
      <rPr>
        <sz val="11"/>
        <color theme="1"/>
        <rFont val="Times New Roman"/>
        <charset val="134"/>
      </rPr>
      <t xml:space="preserve"> 6</t>
    </r>
    <r>
      <rPr>
        <sz val="11"/>
        <color theme="1"/>
        <rFont val="宋体"/>
        <charset val="134"/>
      </rPr>
      <t>台</t>
    </r>
  </si>
  <si>
    <r>
      <rPr>
        <sz val="11"/>
        <color rgb="FF000000"/>
        <rFont val="宋体"/>
        <charset val="134"/>
      </rPr>
      <t>喷雾干燥塔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台</t>
    </r>
  </si>
  <si>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台窑炉（素烧窑和釉烧炉）</t>
    </r>
  </si>
  <si>
    <r>
      <rPr>
        <sz val="11"/>
        <color rgb="FF000000"/>
        <rFont val="宋体"/>
        <charset val="134"/>
      </rPr>
      <t>烟煤</t>
    </r>
  </si>
  <si>
    <r>
      <rPr>
        <sz val="11"/>
        <color rgb="FF000000"/>
        <rFont val="宋体"/>
        <charset val="134"/>
      </rPr>
      <t>湖北蝴蝶泉陶瓷实业有限公司</t>
    </r>
  </si>
  <si>
    <r>
      <rPr>
        <sz val="11"/>
        <color rgb="FF000000"/>
        <rFont val="宋体"/>
        <charset val="134"/>
      </rPr>
      <t>建筑陶瓷（外墙砖）</t>
    </r>
  </si>
  <si>
    <r>
      <rPr>
        <sz val="11"/>
        <color theme="1"/>
        <rFont val="宋体"/>
        <charset val="134"/>
      </rPr>
      <t>煤气发生炉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座（</t>
    </r>
    <r>
      <rPr>
        <sz val="11"/>
        <color theme="1"/>
        <rFont val="Times New Roman"/>
        <charset val="134"/>
      </rPr>
      <t>3.10</t>
    </r>
    <r>
      <rPr>
        <sz val="11"/>
        <color theme="1"/>
        <rFont val="宋体"/>
        <charset val="134"/>
      </rPr>
      <t>米）</t>
    </r>
  </si>
  <si>
    <r>
      <rPr>
        <sz val="11"/>
        <color theme="1"/>
        <rFont val="宋体"/>
        <charset val="134"/>
      </rPr>
      <t>喷雾干燥塔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座（</t>
    </r>
    <r>
      <rPr>
        <sz val="11"/>
        <color theme="1"/>
        <rFont val="Times New Roman"/>
        <charset val="134"/>
      </rPr>
      <t>6002</t>
    </r>
    <r>
      <rPr>
        <sz val="11"/>
        <color theme="1"/>
        <rFont val="宋体"/>
        <charset val="134"/>
      </rPr>
      <t>型）</t>
    </r>
  </si>
  <si>
    <r>
      <rPr>
        <sz val="11"/>
        <color theme="1"/>
        <rFont val="宋体"/>
        <charset val="134"/>
      </rPr>
      <t>辊道窑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条</t>
    </r>
  </si>
  <si>
    <r>
      <rPr>
        <sz val="11"/>
        <color rgb="FF000000"/>
        <rFont val="宋体"/>
        <charset val="134"/>
      </rPr>
      <t>湖北锦汇陶瓷有限公司</t>
    </r>
  </si>
  <si>
    <r>
      <rPr>
        <sz val="11"/>
        <color theme="1"/>
        <rFont val="宋体"/>
        <charset val="134"/>
      </rPr>
      <t>土料球磨机、色釉料球磨机、压机</t>
    </r>
  </si>
  <si>
    <r>
      <rPr>
        <sz val="11"/>
        <color theme="1"/>
        <rFont val="宋体"/>
        <charset val="134"/>
      </rPr>
      <t>煤气发生炉</t>
    </r>
  </si>
  <si>
    <r>
      <rPr>
        <sz val="11"/>
        <color theme="1"/>
        <rFont val="宋体"/>
        <charset val="134"/>
      </rPr>
      <t>喷雾干燥塔</t>
    </r>
  </si>
  <si>
    <r>
      <rPr>
        <sz val="11"/>
        <color theme="1"/>
        <rFont val="宋体"/>
        <charset val="134"/>
      </rPr>
      <t>湖北盛世华沣陶瓷有限公司</t>
    </r>
  </si>
  <si>
    <r>
      <rPr>
        <sz val="11"/>
        <color rgb="FF000000"/>
        <rFont val="宋体"/>
        <charset val="134"/>
      </rPr>
      <t>土料球磨机</t>
    </r>
  </si>
  <si>
    <r>
      <rPr>
        <sz val="11"/>
        <color rgb="FF000000"/>
        <rFont val="宋体"/>
        <charset val="134"/>
      </rPr>
      <t>煤气发生炉</t>
    </r>
  </si>
  <si>
    <r>
      <rPr>
        <sz val="11"/>
        <color rgb="FF000000"/>
        <rFont val="宋体"/>
        <charset val="134"/>
      </rPr>
      <t>喷雾干燥塔</t>
    </r>
  </si>
  <si>
    <r>
      <rPr>
        <sz val="11"/>
        <color theme="1"/>
        <rFont val="宋体"/>
        <charset val="134"/>
      </rPr>
      <t>湖北宝加利陶瓷有限公司</t>
    </r>
  </si>
  <si>
    <r>
      <rPr>
        <sz val="11"/>
        <color theme="1"/>
        <rFont val="宋体"/>
        <charset val="134"/>
      </rPr>
      <t>土料球磨机</t>
    </r>
  </si>
  <si>
    <r>
      <rPr>
        <sz val="11"/>
        <color theme="1"/>
        <rFont val="宋体"/>
        <charset val="134"/>
      </rPr>
      <t>煤气发生炉（</t>
    </r>
    <r>
      <rPr>
        <sz val="11"/>
        <color theme="1"/>
        <rFont val="Times New Roman"/>
        <charset val="134"/>
      </rPr>
      <t>12</t>
    </r>
    <r>
      <rPr>
        <sz val="11"/>
        <color theme="1"/>
        <rFont val="宋体"/>
        <charset val="134"/>
      </rPr>
      <t>套）、锅炉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台</t>
    </r>
  </si>
  <si>
    <r>
      <rPr>
        <sz val="11"/>
        <color theme="1"/>
        <rFont val="宋体"/>
        <charset val="134"/>
      </rPr>
      <t>喷雾干燥塔（</t>
    </r>
    <r>
      <rPr>
        <sz val="11"/>
        <color theme="1"/>
        <rFont val="Times New Roman"/>
        <charset val="134"/>
      </rPr>
      <t>9</t>
    </r>
    <r>
      <rPr>
        <sz val="11"/>
        <color theme="1"/>
        <rFont val="宋体"/>
        <charset val="134"/>
      </rPr>
      <t>座）</t>
    </r>
  </si>
  <si>
    <r>
      <rPr>
        <sz val="11"/>
        <color theme="1"/>
        <rFont val="宋体"/>
        <charset val="134"/>
      </rPr>
      <t>湖北帝豪陶瓷有限公司</t>
    </r>
  </si>
  <si>
    <r>
      <rPr>
        <sz val="11"/>
        <color theme="1"/>
        <rFont val="宋体"/>
        <charset val="134"/>
      </rPr>
      <t>宜昌亚泰陶瓷有限责任公司</t>
    </r>
  </si>
  <si>
    <r>
      <rPr>
        <sz val="11"/>
        <color theme="1"/>
        <rFont val="宋体"/>
        <charset val="134"/>
      </rPr>
      <t>球磨机、压机</t>
    </r>
  </si>
  <si>
    <r>
      <rPr>
        <sz val="11"/>
        <color theme="1"/>
        <rFont val="宋体"/>
        <charset val="134"/>
      </rPr>
      <t>两段式冷煤气站</t>
    </r>
  </si>
  <si>
    <r>
      <rPr>
        <sz val="11"/>
        <color theme="1"/>
        <rFont val="宋体"/>
        <charset val="134"/>
      </rPr>
      <t>辊道窑</t>
    </r>
    <r>
      <rPr>
        <sz val="11"/>
        <color theme="1"/>
        <rFont val="Times New Roman"/>
        <charset val="134"/>
      </rPr>
      <t>503</t>
    </r>
    <r>
      <rPr>
        <sz val="11"/>
        <color theme="1"/>
        <rFont val="宋体"/>
        <charset val="134"/>
      </rPr>
      <t>万㎡</t>
    </r>
    <r>
      <rPr>
        <sz val="11"/>
        <color theme="1"/>
        <rFont val="Times New Roman"/>
        <charset val="134"/>
      </rPr>
      <t xml:space="preserve"> ,</t>
    </r>
    <r>
      <rPr>
        <sz val="11"/>
        <color theme="1"/>
        <rFont val="宋体"/>
        <charset val="134"/>
      </rPr>
      <t>机械窑（煤气）</t>
    </r>
  </si>
  <si>
    <r>
      <rPr>
        <sz val="11"/>
        <color theme="1"/>
        <rFont val="宋体"/>
        <charset val="134"/>
      </rPr>
      <t>湖北楚林陶瓷有限公司</t>
    </r>
  </si>
  <si>
    <r>
      <rPr>
        <sz val="11"/>
        <color rgb="FF000000"/>
        <rFont val="宋体"/>
        <charset val="134"/>
      </rPr>
      <t>干燥塔</t>
    </r>
  </si>
  <si>
    <r>
      <rPr>
        <sz val="11"/>
        <color theme="1"/>
        <rFont val="宋体"/>
        <charset val="134"/>
      </rPr>
      <t>石灰石</t>
    </r>
  </si>
  <si>
    <r>
      <rPr>
        <sz val="11"/>
        <color theme="1"/>
        <rFont val="宋体"/>
        <charset val="134"/>
      </rPr>
      <t>湖北恒新陶瓷有限公司</t>
    </r>
  </si>
  <si>
    <r>
      <rPr>
        <sz val="11"/>
        <color theme="1"/>
        <rFont val="宋体"/>
        <charset val="134"/>
      </rPr>
      <t>窑炉</t>
    </r>
  </si>
  <si>
    <r>
      <rPr>
        <sz val="11"/>
        <color rgb="FF000000"/>
        <rFont val="宋体"/>
        <charset val="134"/>
      </rPr>
      <t>无烟煤</t>
    </r>
  </si>
  <si>
    <r>
      <rPr>
        <sz val="11"/>
        <color theme="1"/>
        <rFont val="宋体"/>
        <charset val="134"/>
      </rPr>
      <t>湖北中瓷万达陶瓷有限公司</t>
    </r>
  </si>
  <si>
    <r>
      <rPr>
        <sz val="11"/>
        <color theme="1"/>
        <rFont val="宋体"/>
        <charset val="134"/>
      </rPr>
      <t>恩平市华昌陶瓷有限公司</t>
    </r>
  </si>
  <si>
    <r>
      <rPr>
        <sz val="11"/>
        <color theme="1"/>
        <rFont val="宋体"/>
        <charset val="134"/>
      </rPr>
      <t>粉料</t>
    </r>
  </si>
  <si>
    <r>
      <rPr>
        <sz val="11"/>
        <color theme="1"/>
        <rFont val="宋体"/>
        <charset val="134"/>
      </rPr>
      <t>恩平市佳鸿陶瓷有限公司</t>
    </r>
  </si>
  <si>
    <r>
      <rPr>
        <sz val="11"/>
        <color theme="1"/>
        <rFont val="宋体"/>
        <charset val="134"/>
      </rPr>
      <t>万平方米</t>
    </r>
  </si>
  <si>
    <r>
      <rPr>
        <sz val="11"/>
        <color theme="1"/>
        <rFont val="宋体"/>
        <charset val="134"/>
      </rPr>
      <t>恩平市全圣陶瓷有限公司</t>
    </r>
  </si>
  <si>
    <r>
      <rPr>
        <sz val="11"/>
        <color rgb="FF000000"/>
        <rFont val="Times New Roman"/>
        <charset val="134"/>
      </rPr>
      <t>1011888.74</t>
    </r>
    <r>
      <rPr>
        <sz val="11"/>
        <color rgb="FF000000"/>
        <rFont val="宋体"/>
        <charset val="134"/>
      </rPr>
      <t>（吸水率</t>
    </r>
    <r>
      <rPr>
        <sz val="11"/>
        <color rgb="FF000000"/>
        <rFont val="Times New Roman"/>
        <charset val="134"/>
      </rPr>
      <t>E</t>
    </r>
    <r>
      <rPr>
        <sz val="11"/>
        <color rgb="FF000000"/>
        <rFont val="宋体"/>
        <charset val="134"/>
      </rPr>
      <t>≤</t>
    </r>
    <r>
      <rPr>
        <sz val="11"/>
        <color rgb="FF000000"/>
        <rFont val="Times New Roman"/>
        <charset val="134"/>
      </rPr>
      <t>0.5%</t>
    </r>
    <r>
      <rPr>
        <sz val="11"/>
        <color rgb="FF000000"/>
        <rFont val="宋体"/>
        <charset val="134"/>
      </rPr>
      <t>陶瓷砖）、</t>
    </r>
    <r>
      <rPr>
        <sz val="11"/>
        <color rgb="FF000000"/>
        <rFont val="Times New Roman"/>
        <charset val="134"/>
      </rPr>
      <t>421622.63</t>
    </r>
    <r>
      <rPr>
        <sz val="11"/>
        <color rgb="FF000000"/>
        <rFont val="宋体"/>
        <charset val="134"/>
      </rPr>
      <t>（吸水率</t>
    </r>
    <r>
      <rPr>
        <sz val="11"/>
        <color rgb="FF000000"/>
        <rFont val="Times New Roman"/>
        <charset val="134"/>
      </rPr>
      <t>E</t>
    </r>
    <r>
      <rPr>
        <sz val="11"/>
        <color rgb="FF000000"/>
        <rFont val="宋体"/>
        <charset val="134"/>
      </rPr>
      <t>≥</t>
    </r>
    <r>
      <rPr>
        <sz val="11"/>
        <color rgb="FF000000"/>
        <rFont val="Times New Roman"/>
        <charset val="134"/>
      </rPr>
      <t xml:space="preserve">10% </t>
    </r>
    <r>
      <rPr>
        <sz val="11"/>
        <color rgb="FF000000"/>
        <rFont val="宋体"/>
        <charset val="134"/>
      </rPr>
      <t>陶瓷砖）</t>
    </r>
  </si>
  <si>
    <r>
      <rPr>
        <sz val="11"/>
        <color theme="1"/>
        <rFont val="宋体"/>
        <charset val="134"/>
      </rPr>
      <t>吨</t>
    </r>
  </si>
  <si>
    <r>
      <rPr>
        <sz val="11"/>
        <color theme="1"/>
        <rFont val="宋体"/>
        <charset val="134"/>
      </rPr>
      <t>恩平市翔鹰陶瓷有限公司</t>
    </r>
  </si>
  <si>
    <r>
      <rPr>
        <sz val="11"/>
        <color theme="1"/>
        <rFont val="宋体"/>
        <charset val="134"/>
      </rPr>
      <t>抛光砖及砖坯</t>
    </r>
  </si>
  <si>
    <r>
      <rPr>
        <sz val="11"/>
        <color theme="1"/>
        <rFont val="宋体"/>
        <charset val="134"/>
      </rPr>
      <t>恩平市新锦成陶瓷有限公司</t>
    </r>
  </si>
  <si>
    <r>
      <rPr>
        <sz val="11"/>
        <color theme="1"/>
        <rFont val="宋体"/>
        <charset val="134"/>
      </rPr>
      <t>陶瓷砖</t>
    </r>
  </si>
  <si>
    <r>
      <rPr>
        <sz val="11"/>
        <color theme="1"/>
        <rFont val="宋体"/>
        <charset val="134"/>
      </rPr>
      <t>高要市金沙江陶瓷有限公司</t>
    </r>
  </si>
  <si>
    <r>
      <rPr>
        <sz val="11"/>
        <color theme="1"/>
        <rFont val="宋体"/>
        <charset val="134"/>
      </rPr>
      <t>高要市玉山陶瓷工业有限公司</t>
    </r>
  </si>
  <si>
    <r>
      <rPr>
        <sz val="11"/>
        <color theme="1"/>
        <rFont val="宋体"/>
        <charset val="134"/>
      </rPr>
      <t>瓷质砖</t>
    </r>
  </si>
  <si>
    <r>
      <rPr>
        <sz val="11"/>
        <color theme="1"/>
        <rFont val="宋体"/>
        <charset val="134"/>
      </rPr>
      <t>广东荣高陶瓷有限公司</t>
    </r>
  </si>
  <si>
    <r>
      <rPr>
        <sz val="11"/>
        <color theme="1"/>
        <rFont val="宋体"/>
        <charset val="134"/>
      </rPr>
      <t>耐磨砖</t>
    </r>
  </si>
  <si>
    <r>
      <rPr>
        <sz val="11"/>
        <color theme="1"/>
        <rFont val="宋体"/>
        <charset val="134"/>
      </rPr>
      <t>新兴县宝雅陶瓷有限公司</t>
    </r>
  </si>
  <si>
    <r>
      <rPr>
        <sz val="11"/>
        <color theme="1"/>
        <rFont val="宋体"/>
        <charset val="134"/>
      </rPr>
      <t>肇庆市富强陶瓷有限公司</t>
    </r>
  </si>
  <si>
    <r>
      <rPr>
        <sz val="11"/>
        <color theme="1"/>
        <rFont val="宋体"/>
        <charset val="134"/>
      </rPr>
      <t>肇庆市郭氏企业名嘉陶瓷有限公司</t>
    </r>
  </si>
  <si>
    <r>
      <rPr>
        <sz val="11"/>
        <color theme="1"/>
        <rFont val="宋体"/>
        <charset val="134"/>
      </rPr>
      <t>东莞市唯美陶瓷工业园有限公司</t>
    </r>
  </si>
  <si>
    <r>
      <rPr>
        <sz val="11"/>
        <color theme="1"/>
        <rFont val="宋体"/>
        <charset val="134"/>
      </rPr>
      <t>天然气</t>
    </r>
  </si>
  <si>
    <r>
      <rPr>
        <sz val="11"/>
        <color theme="1"/>
        <rFont val="宋体"/>
        <charset val="134"/>
      </rPr>
      <t>潮安县凤塘雅诚德陶瓷制作厂</t>
    </r>
  </si>
  <si>
    <r>
      <rPr>
        <sz val="11"/>
        <color theme="1"/>
        <rFont val="宋体"/>
        <charset val="134"/>
      </rPr>
      <t>日用瓷</t>
    </r>
  </si>
  <si>
    <r>
      <rPr>
        <sz val="11"/>
        <color rgb="FF000000"/>
        <rFont val="宋体"/>
        <charset val="134"/>
      </rPr>
      <t>液化石油气</t>
    </r>
  </si>
  <si>
    <r>
      <rPr>
        <sz val="11"/>
        <color theme="1"/>
        <rFont val="宋体"/>
        <charset val="134"/>
      </rPr>
      <t>广东梦佳陶瓷实业有限公司</t>
    </r>
  </si>
  <si>
    <r>
      <rPr>
        <sz val="11"/>
        <color theme="1"/>
        <rFont val="宋体"/>
        <charset val="134"/>
      </rPr>
      <t>卫生陶瓷</t>
    </r>
  </si>
  <si>
    <r>
      <rPr>
        <sz val="11"/>
        <color theme="1"/>
        <rFont val="宋体"/>
        <charset val="134"/>
      </rPr>
      <t>广东翔华东龙瓷业有限公司</t>
    </r>
  </si>
  <si>
    <t>企业名称</t>
  </si>
  <si>
    <t>洗精煤消耗量(t)</t>
  </si>
  <si>
    <t>无烟煤消耗量(t)</t>
  </si>
  <si>
    <t>一般烟煤消耗量(t)</t>
  </si>
  <si>
    <t>其他煤制品消耗量(t)</t>
  </si>
  <si>
    <t>兰炭消耗量(t)</t>
  </si>
  <si>
    <t>焦炭消耗量(t)</t>
  </si>
  <si>
    <t>焦炭外供量(t)</t>
  </si>
  <si>
    <t>焦炉煤气消耗量(吉焦)</t>
  </si>
  <si>
    <t>焦炉煤气外供量(吉焦)</t>
  </si>
  <si>
    <t>高炉煤气消耗量(吉焦)</t>
  </si>
  <si>
    <t>高炉煤气外供量(吉焦)</t>
  </si>
  <si>
    <t>转炉煤气消耗量(吉焦)</t>
  </si>
  <si>
    <t>转炉煤气外供量(吉焦)</t>
  </si>
  <si>
    <t>混合煤气消耗量(吉焦)</t>
  </si>
  <si>
    <t>燃料油消耗量(t)</t>
  </si>
  <si>
    <t>柴油消耗量(t)</t>
  </si>
  <si>
    <t>汽油消耗量(t)</t>
  </si>
  <si>
    <t>石油焦消耗量(t)</t>
  </si>
  <si>
    <t>回炉铁消耗量(t)</t>
  </si>
  <si>
    <t>硅铁消耗量(t)</t>
  </si>
  <si>
    <t>废铸件消耗量(t)</t>
  </si>
  <si>
    <t>铁块消耗量(t)</t>
  </si>
  <si>
    <t>废硅钢片消耗量(t)</t>
  </si>
  <si>
    <t>壳体废料消耗量(t)</t>
  </si>
  <si>
    <t>钢丸消耗量(t)</t>
  </si>
  <si>
    <t>铁麟消耗量(t)</t>
  </si>
  <si>
    <t>废钢消耗量(t)</t>
  </si>
  <si>
    <t>钢坯消耗量(t)</t>
  </si>
  <si>
    <t>粗钢消耗量(t)</t>
  </si>
  <si>
    <t>生铁消耗量(t)</t>
  </si>
  <si>
    <t>硅锰合金消耗量(t)</t>
  </si>
  <si>
    <t>碳粉消耗量(t)</t>
  </si>
  <si>
    <t>焦粉消耗量(t)</t>
  </si>
  <si>
    <t>碳化硅消耗量(t)</t>
  </si>
  <si>
    <t>增碳剂消耗量(t)</t>
  </si>
  <si>
    <t>碳线消耗量(t)</t>
  </si>
  <si>
    <t>白云石消耗量(t)</t>
  </si>
  <si>
    <t>石灰石消耗量(t)</t>
  </si>
  <si>
    <t>电极消耗量(t)</t>
  </si>
  <si>
    <t>净购入使用的电力对应的排放量(t)</t>
  </si>
  <si>
    <t>化石燃料燃烧直接排放(t)</t>
  </si>
  <si>
    <t>工业生产过程排放量(t)</t>
  </si>
  <si>
    <t>净购入热力对应的排放量(t)</t>
  </si>
  <si>
    <t>固碳产品隐含的排放量(t)</t>
  </si>
  <si>
    <t>总排放量(t)</t>
  </si>
  <si>
    <t>炭素产量(t)</t>
  </si>
  <si>
    <t>球团矿产量(t)</t>
  </si>
  <si>
    <t>热轧钢产量(t)</t>
  </si>
  <si>
    <t>冷轧钢(含来料加工)产量(t)</t>
  </si>
  <si>
    <t>粗苯产量(t)</t>
  </si>
  <si>
    <t>焦油产量(t)</t>
  </si>
  <si>
    <t>粗钢产量(万吨)</t>
  </si>
  <si>
    <t>排放强度(tCO2/t)</t>
  </si>
  <si>
    <t>钢材产量(万吨)</t>
  </si>
  <si>
    <t>铸件产量(吨)</t>
  </si>
  <si>
    <t>钢坯产量(t)</t>
  </si>
  <si>
    <t>螺纹钢产量(t)</t>
  </si>
  <si>
    <t>轮辋钢产量(t)</t>
  </si>
  <si>
    <t>钢筋产量(t)</t>
  </si>
  <si>
    <t>生铁产量(t)</t>
  </si>
  <si>
    <t>外售废钢(万吨)</t>
  </si>
  <si>
    <t>铁水产量(t)</t>
  </si>
  <si>
    <t>水渣输出(t)</t>
  </si>
  <si>
    <t>渣钢输出(t)</t>
  </si>
  <si>
    <t>90铁粉产量(t)</t>
  </si>
  <si>
    <t>还原铁粉产量(t)</t>
  </si>
  <si>
    <t>补充数据表</t>
  </si>
  <si>
    <t>净购入电力、热力对应的排放量(t)</t>
  </si>
  <si>
    <t>炼焦工序(t)</t>
  </si>
  <si>
    <t>烧结(或造团)工序(t)</t>
  </si>
  <si>
    <t>炼铁工序(t)</t>
  </si>
  <si>
    <t>炼钢工序(t)</t>
  </si>
  <si>
    <t>钢铁加工工序(t)</t>
  </si>
  <si>
    <t>供热工序(t)</t>
  </si>
  <si>
    <t>自备电厂(t)</t>
  </si>
  <si>
    <t>冶炼生产工序(t)</t>
  </si>
  <si>
    <t>其他辅助工序(t)</t>
  </si>
  <si>
    <t>硅铁产量(吨)</t>
  </si>
  <si>
    <t>武汉钢铁有限公司</t>
  </si>
  <si>
    <t>湖北大展钢铁有限公司</t>
  </si>
  <si>
    <t>鄂州鸿泰钢铁集团有限公司</t>
  </si>
  <si>
    <t>武汉钢铁集团鄂城钢铁有限责任公司</t>
  </si>
  <si>
    <t>湖北吴城钢铁集团有限公司</t>
  </si>
  <si>
    <t>宜昌市福龙钢铁有限公司</t>
  </si>
  <si>
    <t>孝感金达钢铁有限公司</t>
  </si>
  <si>
    <t>武汉钢铁(集团)公司</t>
  </si>
  <si>
    <t>11898461(Nm3)</t>
  </si>
  <si>
    <t>76817846(Nm3)</t>
  </si>
  <si>
    <t>武汉顺乐不锈钢有限公司</t>
  </si>
  <si>
    <t>10627.751(t)</t>
  </si>
  <si>
    <t>3337.626(t)</t>
  </si>
  <si>
    <t>武汉钢铁集团金属资源有限责任公司</t>
  </si>
  <si>
    <t>(金属废料和碎屑加工处理)</t>
  </si>
  <si>
    <t>湖北新冶钢有限公司</t>
  </si>
  <si>
    <t>18.8(Nm3)</t>
  </si>
  <si>
    <t>8.04(Nm3)</t>
  </si>
  <si>
    <t>1419.44(t)</t>
  </si>
  <si>
    <t>19.45(Nm3)</t>
  </si>
  <si>
    <t>7.31(Nm3)</t>
  </si>
  <si>
    <t>1840.51(t)</t>
  </si>
  <si>
    <t>15.01(Nm3)</t>
  </si>
  <si>
    <t>6.42(Nm3)</t>
  </si>
  <si>
    <t>1714.28(t)</t>
  </si>
  <si>
    <t>139008.4(m3)</t>
  </si>
  <si>
    <t>56821(m3)</t>
  </si>
  <si>
    <t>湖北新鑫钢铁集团有限公司</t>
  </si>
  <si>
    <t>黄石东贝铸造有限公司</t>
  </si>
  <si>
    <t>127874.08(L)</t>
  </si>
  <si>
    <t>20964.428(L)</t>
  </si>
  <si>
    <t>91493.9L(L)</t>
  </si>
  <si>
    <t>11991.875(L)</t>
  </si>
  <si>
    <t>75685.27(L)</t>
  </si>
  <si>
    <t>13914.555(L)</t>
  </si>
  <si>
    <t>85987.78(L)</t>
  </si>
  <si>
    <t>9412.673(L)</t>
  </si>
  <si>
    <t>武钢森泰通山冶金有限责任公司(铁合金冶炼领域)</t>
  </si>
  <si>
    <t>8832.734(L)</t>
  </si>
  <si>
    <t>湖北立晋钢铁集团有限公司</t>
  </si>
  <si>
    <t>武汉重工铸锻有限责任公司(机械制造+炼钢)</t>
  </si>
  <si>
    <t>武汉钢铁集团湖北华中重型机械制造有限公司(通用设备、非金属矿物制造业)</t>
  </si>
  <si>
    <t>湖北鄂钢嘉华新型建材有限公司</t>
  </si>
  <si>
    <t>(非金属矿物制造业)</t>
  </si>
  <si>
    <t>宝武集团鄂城钢铁有限公司</t>
  </si>
  <si>
    <t>武钢资源集团鄂州球团有限公司</t>
  </si>
  <si>
    <t>湖北省荆州市带钢厂</t>
  </si>
  <si>
    <t>(钢压延加工)</t>
  </si>
  <si>
    <t>荆州市群力金属制品有限公司</t>
  </si>
  <si>
    <t>东风商用车有限公司(汽车制造业)</t>
  </si>
  <si>
    <t>200991(t)</t>
  </si>
  <si>
    <t>十堰市郧阳区榕峰钢铁有限公司</t>
  </si>
  <si>
    <t>十堰福堰钢铁有限公司</t>
  </si>
  <si>
    <t>赤壁长城炭素制品有限公司(不属于钢铁)</t>
  </si>
  <si>
    <t>净购入电量</t>
  </si>
  <si>
    <t>总排放量</t>
  </si>
  <si>
    <t>净购入电量（MWh）</t>
  </si>
  <si>
    <t>无烟煤消耗量（t）</t>
  </si>
  <si>
    <t>烟煤消耗量（t）</t>
  </si>
  <si>
    <t>柴油消耗量（t）</t>
  </si>
  <si>
    <t>汽油消耗量（t）</t>
  </si>
  <si>
    <t>净购入使用的电力对应的排放量（t）</t>
  </si>
  <si>
    <t>能源作为原材料用途的排放量（t)</t>
  </si>
  <si>
    <t>总排放量（t）</t>
  </si>
  <si>
    <t>铜加工材产量（t）</t>
  </si>
  <si>
    <t>铝型材产量（t）</t>
  </si>
  <si>
    <t>阴极铜产量（t）</t>
  </si>
  <si>
    <t>中铝华中铜业有限公司</t>
  </si>
  <si>
    <t>黄石市佳美铝业有限公司</t>
  </si>
  <si>
    <t>大冶有色金属集团控股有限公司</t>
  </si>
  <si>
    <t>纺锭产量（t）</t>
  </si>
  <si>
    <t>湖北金安纺织集团股份有限公司</t>
  </si>
  <si>
    <t>净购入热力（t）</t>
  </si>
  <si>
    <t>净购入使用的热力对应的排放量（t）</t>
  </si>
  <si>
    <t>醋酸丝束产量（t）</t>
  </si>
  <si>
    <t>湖北新阳特种纤维股份有限公司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</si>
</sst>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_);[Red]\(0.00\)"/>
    <numFmt numFmtId="178" formatCode="0_);[Red]\(0\)"/>
  </numFmts>
  <fonts count="35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sz val="12"/>
      <color theme="1"/>
      <name val="仿宋"/>
      <charset val="134"/>
    </font>
    <font>
      <sz val="12"/>
      <color theme="1"/>
      <name val="Times New Roman"/>
      <charset val="134"/>
    </font>
    <font>
      <sz val="12"/>
      <color theme="1"/>
      <name val="仿宋_GB2312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2"/>
      <color theme="1"/>
      <name val="微软雅黑"/>
      <charset val="134"/>
    </font>
    <font>
      <sz val="11"/>
      <color theme="1"/>
      <name val="仿宋_GB2312"/>
      <charset val="134"/>
    </font>
    <font>
      <sz val="12"/>
      <color rgb="FF000000"/>
      <name val="楷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ont="1" applyFill="1" applyAlignment="1">
      <alignment horizontal="center" vertical="center" wrapText="1"/>
    </xf>
    <xf numFmtId="4" fontId="0" fillId="0" borderId="0" xfId="0" applyNumberFormat="1" applyFont="1"/>
    <xf numFmtId="4" fontId="2" fillId="0" borderId="0" xfId="0" applyNumberFormat="1" applyFont="1"/>
    <xf numFmtId="3" fontId="0" fillId="0" borderId="0" xfId="0" applyNumberFormat="1" applyFont="1"/>
    <xf numFmtId="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Font="1" applyAlignment="1">
      <alignment wrapText="1"/>
    </xf>
    <xf numFmtId="0" fontId="0" fillId="3" borderId="0" xfId="0" applyFont="1" applyFill="1" applyAlignment="1">
      <alignment vertical="center" wrapText="1"/>
    </xf>
    <xf numFmtId="0" fontId="0" fillId="3" borderId="0" xfId="0" applyFont="1" applyFill="1" applyAlignment="1">
      <alignment horizontal="center" vertical="center" wrapText="1"/>
    </xf>
    <xf numFmtId="3" fontId="2" fillId="0" borderId="0" xfId="0" applyNumberFormat="1" applyFont="1"/>
    <xf numFmtId="0" fontId="4" fillId="4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Border="1"/>
    <xf numFmtId="0" fontId="4" fillId="0" borderId="0" xfId="49" applyFont="1" applyAlignment="1">
      <alignment horizontal="center" vertical="center"/>
    </xf>
    <xf numFmtId="0" fontId="0" fillId="0" borderId="0" xfId="49">
      <alignment vertical="center"/>
    </xf>
    <xf numFmtId="10" fontId="0" fillId="0" borderId="0" xfId="49" applyNumberFormat="1">
      <alignment vertical="center"/>
    </xf>
    <xf numFmtId="0" fontId="6" fillId="0" borderId="0" xfId="49" applyFont="1" applyAlignment="1">
      <alignment horizontal="center" vertical="center"/>
    </xf>
    <xf numFmtId="177" fontId="4" fillId="0" borderId="0" xfId="49" applyNumberFormat="1" applyFont="1" applyAlignment="1">
      <alignment horizontal="center" vertical="center"/>
    </xf>
    <xf numFmtId="178" fontId="4" fillId="0" borderId="0" xfId="49" applyNumberFormat="1" applyFont="1" applyAlignment="1">
      <alignment horizontal="center" vertical="center" wrapText="1"/>
    </xf>
    <xf numFmtId="178" fontId="6" fillId="0" borderId="0" xfId="49" applyNumberFormat="1" applyFont="1" applyAlignment="1">
      <alignment horizontal="center" vertical="center" wrapText="1"/>
    </xf>
    <xf numFmtId="10" fontId="4" fillId="0" borderId="0" xfId="49" applyNumberFormat="1" applyFont="1" applyAlignment="1">
      <alignment horizontal="center" vertical="center" wrapText="1"/>
    </xf>
    <xf numFmtId="9" fontId="4" fillId="0" borderId="0" xfId="49" applyNumberFormat="1" applyFont="1" applyAlignment="1">
      <alignment horizontal="center" vertical="center" wrapText="1"/>
    </xf>
    <xf numFmtId="0" fontId="6" fillId="0" borderId="0" xfId="49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90"/>
  <sheetViews>
    <sheetView topLeftCell="AK1" workbookViewId="0">
      <selection activeCell="M18" sqref="M18"/>
    </sheetView>
  </sheetViews>
  <sheetFormatPr defaultColWidth="9" defaultRowHeight="14"/>
  <cols>
    <col min="1" max="4" width="9" style="38"/>
    <col min="5" max="5" width="9.775" style="38" customWidth="1"/>
    <col min="6" max="6" width="40.2166666666667" style="38" customWidth="1"/>
    <col min="7" max="7" width="9" style="38"/>
    <col min="8" max="8" width="14.4416666666667" style="38" customWidth="1"/>
    <col min="9" max="13" width="9" style="38"/>
    <col min="14" max="20" width="14" style="38" customWidth="1"/>
    <col min="21" max="21" width="15.2166666666667" style="38" customWidth="1"/>
    <col min="22" max="22" width="20.6666666666667" style="38" customWidth="1"/>
    <col min="23" max="23" width="15.8833333333333" style="38" customWidth="1"/>
    <col min="24" max="24" width="18.1083333333333" style="38" customWidth="1"/>
    <col min="25" max="31" width="19.1083333333333" style="38" customWidth="1"/>
    <col min="32" max="32" width="16.2166666666667" style="38" customWidth="1"/>
    <col min="33" max="33" width="22.4416666666667" style="38" customWidth="1"/>
    <col min="34" max="34" width="19.1083333333333" style="38" customWidth="1"/>
    <col min="35" max="35" width="9" style="38"/>
    <col min="36" max="36" width="16.8833333333333" style="38" customWidth="1"/>
    <col min="37" max="41" width="9" style="38"/>
    <col min="42" max="42" width="15.2166666666667" style="38" customWidth="1"/>
    <col min="43" max="43" width="13.1083333333333" style="38" customWidth="1"/>
    <col min="44" max="44" width="16.2166666666667" style="38" customWidth="1"/>
    <col min="45" max="54" width="9" style="38"/>
    <col min="55" max="55" width="14.6666666666667" style="38" customWidth="1"/>
    <col min="56" max="57" width="9" style="38"/>
    <col min="58" max="58" width="13.1083333333333" style="38" customWidth="1"/>
    <col min="59" max="59" width="9" style="39"/>
    <col min="60" max="16384" width="9" style="38"/>
  </cols>
  <sheetData>
    <row r="1" s="37" customFormat="1" ht="56" spans="2:61">
      <c r="B1" s="37" t="s">
        <v>0</v>
      </c>
      <c r="C1" s="37" t="s">
        <v>1</v>
      </c>
      <c r="D1" s="37" t="s">
        <v>2</v>
      </c>
      <c r="E1" s="37" t="s">
        <v>3</v>
      </c>
      <c r="F1" s="37" t="s">
        <v>4</v>
      </c>
      <c r="G1" s="37" t="s">
        <v>5</v>
      </c>
      <c r="H1" s="40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40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1" t="s">
        <v>19</v>
      </c>
      <c r="V1" s="40" t="s">
        <v>20</v>
      </c>
      <c r="W1" s="40" t="s">
        <v>21</v>
      </c>
      <c r="X1" s="40" t="s">
        <v>22</v>
      </c>
      <c r="Y1" s="40" t="s">
        <v>23</v>
      </c>
      <c r="Z1" s="40" t="s">
        <v>24</v>
      </c>
      <c r="AA1" s="38" t="s">
        <v>25</v>
      </c>
      <c r="AB1" s="38" t="s">
        <v>26</v>
      </c>
      <c r="AC1" s="38" t="s">
        <v>27</v>
      </c>
      <c r="AD1" s="38" t="s">
        <v>28</v>
      </c>
      <c r="AE1" s="38" t="s">
        <v>29</v>
      </c>
      <c r="AF1" s="38" t="s">
        <v>30</v>
      </c>
      <c r="AG1" s="38" t="s">
        <v>31</v>
      </c>
      <c r="AH1" s="40" t="s">
        <v>32</v>
      </c>
      <c r="AI1" s="37" t="s">
        <v>33</v>
      </c>
      <c r="AJ1" s="37" t="s">
        <v>34</v>
      </c>
      <c r="AK1" s="37" t="s">
        <v>35</v>
      </c>
      <c r="AL1" s="37" t="s">
        <v>33</v>
      </c>
      <c r="AM1" s="37" t="s">
        <v>36</v>
      </c>
      <c r="AN1" s="37" t="s">
        <v>37</v>
      </c>
      <c r="AO1" s="37" t="s">
        <v>33</v>
      </c>
      <c r="AP1" s="41" t="s">
        <v>19</v>
      </c>
      <c r="AQ1" s="42" t="s">
        <v>38</v>
      </c>
      <c r="AR1" s="42" t="s">
        <v>39</v>
      </c>
      <c r="AS1" s="43" t="s">
        <v>40</v>
      </c>
      <c r="AT1" s="43" t="s">
        <v>41</v>
      </c>
      <c r="AU1" s="43" t="s">
        <v>42</v>
      </c>
      <c r="AV1" s="43" t="s">
        <v>43</v>
      </c>
      <c r="AW1" s="43" t="s">
        <v>44</v>
      </c>
      <c r="AX1" s="43" t="s">
        <v>45</v>
      </c>
      <c r="AY1" s="43" t="s">
        <v>46</v>
      </c>
      <c r="AZ1" s="43" t="s">
        <v>47</v>
      </c>
      <c r="BA1" s="43" t="s">
        <v>48</v>
      </c>
      <c r="BB1" s="43" t="s">
        <v>49</v>
      </c>
      <c r="BC1" s="42" t="s">
        <v>50</v>
      </c>
      <c r="BD1" s="43" t="s">
        <v>51</v>
      </c>
      <c r="BE1" s="42" t="s">
        <v>52</v>
      </c>
      <c r="BF1" s="42" t="s">
        <v>53</v>
      </c>
      <c r="BG1" s="44" t="s">
        <v>54</v>
      </c>
      <c r="BH1" s="45" t="s">
        <v>55</v>
      </c>
      <c r="BI1" s="42"/>
    </row>
    <row r="2" spans="1:60">
      <c r="A2" s="38">
        <v>1</v>
      </c>
      <c r="B2" s="38">
        <v>1</v>
      </c>
      <c r="C2" s="38">
        <v>2019</v>
      </c>
      <c r="F2" s="38" t="s">
        <v>56</v>
      </c>
      <c r="G2" s="38" t="s">
        <v>57</v>
      </c>
      <c r="H2" s="38">
        <v>1683162</v>
      </c>
      <c r="I2" s="38" t="s">
        <v>58</v>
      </c>
      <c r="J2" s="38" t="s">
        <v>59</v>
      </c>
      <c r="U2" s="38">
        <v>118368.36</v>
      </c>
      <c r="V2" s="38">
        <v>138525</v>
      </c>
      <c r="W2" s="38">
        <v>539.04</v>
      </c>
      <c r="X2" s="38">
        <v>36.01</v>
      </c>
      <c r="AF2" s="38">
        <v>980016</v>
      </c>
      <c r="AG2" s="38">
        <v>3.043</v>
      </c>
      <c r="AH2" s="38">
        <v>1501872</v>
      </c>
      <c r="AP2" s="38">
        <v>118368.36</v>
      </c>
      <c r="AQ2" s="38">
        <v>104673.14</v>
      </c>
      <c r="AR2" s="38">
        <v>349734.03</v>
      </c>
      <c r="AS2" s="38">
        <v>347941.77</v>
      </c>
      <c r="AT2" s="38">
        <v>1685.85</v>
      </c>
      <c r="AU2" s="38">
        <v>106.41</v>
      </c>
      <c r="BC2" s="38">
        <v>537670.65</v>
      </c>
      <c r="BD2" s="38">
        <v>5506.86</v>
      </c>
      <c r="BF2" s="38">
        <v>997585</v>
      </c>
      <c r="BG2" s="39">
        <f t="shared" ref="BG2:BG65" si="0">AQ2/BF2</f>
        <v>0.104926537588276</v>
      </c>
      <c r="BH2" s="39">
        <f t="shared" ref="BH2:BH65" si="1">AR2/BF2</f>
        <v>0.35058068234787</v>
      </c>
    </row>
    <row r="3" spans="1:60">
      <c r="A3" s="38">
        <v>2</v>
      </c>
      <c r="B3" s="38">
        <v>2</v>
      </c>
      <c r="C3" s="38">
        <v>2018</v>
      </c>
      <c r="F3" s="38" t="s">
        <v>56</v>
      </c>
      <c r="G3" s="38" t="s">
        <v>57</v>
      </c>
      <c r="H3" s="38">
        <v>206436</v>
      </c>
      <c r="I3" s="38" t="s">
        <v>58</v>
      </c>
      <c r="J3" s="38" t="s">
        <v>60</v>
      </c>
      <c r="K3" s="38" t="s">
        <v>61</v>
      </c>
      <c r="L3" s="38" t="s">
        <v>59</v>
      </c>
      <c r="M3" s="38" t="s">
        <v>62</v>
      </c>
      <c r="N3" s="38" t="s">
        <v>63</v>
      </c>
      <c r="U3" s="38">
        <v>28536</v>
      </c>
      <c r="W3" s="38">
        <v>134.13</v>
      </c>
      <c r="Y3" s="38">
        <v>31033</v>
      </c>
      <c r="AF3" s="38">
        <v>134657</v>
      </c>
      <c r="AG3" s="38">
        <v>4.25</v>
      </c>
      <c r="AH3" s="38">
        <v>201272</v>
      </c>
      <c r="AP3" s="38">
        <v>28536</v>
      </c>
      <c r="AQ3" s="38">
        <v>15001.38</v>
      </c>
      <c r="AR3" s="38">
        <v>102117.22</v>
      </c>
      <c r="AT3" s="38">
        <v>419.49</v>
      </c>
      <c r="AV3" s="38">
        <v>101697.73</v>
      </c>
      <c r="BC3" s="38">
        <v>74387.45</v>
      </c>
      <c r="BD3" s="38">
        <v>738</v>
      </c>
      <c r="BF3" s="38">
        <v>192244</v>
      </c>
      <c r="BG3" s="39">
        <f t="shared" si="0"/>
        <v>0.0780330205364017</v>
      </c>
      <c r="BH3" s="39">
        <f t="shared" si="1"/>
        <v>0.531185472628535</v>
      </c>
    </row>
    <row r="4" spans="1:60">
      <c r="A4" s="38">
        <v>3</v>
      </c>
      <c r="B4" s="38">
        <v>3</v>
      </c>
      <c r="C4" s="38">
        <v>2019</v>
      </c>
      <c r="F4" s="38" t="s">
        <v>56</v>
      </c>
      <c r="G4" s="38" t="s">
        <v>57</v>
      </c>
      <c r="H4" s="38">
        <v>1124843</v>
      </c>
      <c r="I4" s="38" t="s">
        <v>58</v>
      </c>
      <c r="J4" s="38" t="s">
        <v>59</v>
      </c>
      <c r="K4" s="38" t="s">
        <v>61</v>
      </c>
      <c r="L4" s="38" t="s">
        <v>64</v>
      </c>
      <c r="M4" s="38" t="s">
        <v>65</v>
      </c>
      <c r="N4" s="38" t="s">
        <v>66</v>
      </c>
      <c r="O4" s="38" t="s">
        <v>67</v>
      </c>
      <c r="P4" s="38" t="s">
        <v>68</v>
      </c>
      <c r="U4" s="38">
        <v>100308.781</v>
      </c>
      <c r="V4" s="38">
        <v>139263.5</v>
      </c>
      <c r="W4" s="38">
        <v>90.14</v>
      </c>
      <c r="AF4" s="38">
        <v>987795</v>
      </c>
      <c r="AG4" s="38">
        <v>10.1656</v>
      </c>
      <c r="AH4" s="38">
        <v>1519872</v>
      </c>
      <c r="AP4" s="38">
        <v>100308.781</v>
      </c>
      <c r="AQ4" s="38">
        <v>88703.06</v>
      </c>
      <c r="AR4" s="38">
        <v>312216.73</v>
      </c>
      <c r="AS4" s="38">
        <v>311934.82</v>
      </c>
      <c r="AT4" s="38">
        <v>281.91</v>
      </c>
      <c r="BC4" s="38">
        <v>527102.71</v>
      </c>
      <c r="BD4" s="38">
        <v>16718.59</v>
      </c>
      <c r="BF4" s="38">
        <v>944741</v>
      </c>
      <c r="BG4" s="39">
        <f t="shared" si="0"/>
        <v>0.093891405157604</v>
      </c>
      <c r="BH4" s="39">
        <f t="shared" si="1"/>
        <v>0.330478649703993</v>
      </c>
    </row>
    <row r="5" spans="1:60">
      <c r="A5" s="38">
        <v>4</v>
      </c>
      <c r="B5" s="38">
        <v>4</v>
      </c>
      <c r="C5" s="38">
        <v>2019</v>
      </c>
      <c r="F5" s="38" t="s">
        <v>56</v>
      </c>
      <c r="G5" s="38" t="s">
        <v>57</v>
      </c>
      <c r="H5" s="38">
        <v>883908</v>
      </c>
      <c r="I5" s="38" t="s">
        <v>58</v>
      </c>
      <c r="J5" s="38" t="s">
        <v>69</v>
      </c>
      <c r="K5" s="38" t="s">
        <v>70</v>
      </c>
      <c r="L5" s="38" t="s">
        <v>71</v>
      </c>
      <c r="M5" s="38" t="s">
        <v>72</v>
      </c>
      <c r="N5" s="38" t="s">
        <v>73</v>
      </c>
      <c r="U5" s="38">
        <v>57228.92</v>
      </c>
      <c r="V5" s="38">
        <v>102000</v>
      </c>
      <c r="W5" s="38">
        <v>28.96</v>
      </c>
      <c r="AF5" s="38">
        <v>735404</v>
      </c>
      <c r="AG5" s="38">
        <v>2.94</v>
      </c>
      <c r="AH5" s="38">
        <v>1125377.34</v>
      </c>
      <c r="AP5" s="38">
        <v>57228.92</v>
      </c>
      <c r="AQ5" s="38">
        <v>50607.53</v>
      </c>
      <c r="AR5" s="38">
        <v>237367.94</v>
      </c>
      <c r="AS5" s="38">
        <v>237277.37</v>
      </c>
      <c r="AT5" s="38">
        <v>90.57</v>
      </c>
      <c r="BC5" s="38">
        <v>381881.06</v>
      </c>
      <c r="BD5" s="38">
        <v>4126.38</v>
      </c>
      <c r="BF5" s="38">
        <v>673983</v>
      </c>
      <c r="BG5" s="39">
        <f t="shared" si="0"/>
        <v>0.0750872499751477</v>
      </c>
      <c r="BH5" s="39">
        <f t="shared" si="1"/>
        <v>0.352186835573004</v>
      </c>
    </row>
    <row r="6" spans="1:60">
      <c r="A6" s="38">
        <v>5</v>
      </c>
      <c r="B6" s="38">
        <v>5</v>
      </c>
      <c r="C6" s="38">
        <v>2019</v>
      </c>
      <c r="F6" s="38" t="s">
        <v>56</v>
      </c>
      <c r="G6" s="38" t="s">
        <v>57</v>
      </c>
      <c r="H6" s="38">
        <v>856916.19</v>
      </c>
      <c r="I6" s="38" t="s">
        <v>58</v>
      </c>
      <c r="J6" s="38" t="s">
        <v>74</v>
      </c>
      <c r="K6" s="38" t="s">
        <v>71</v>
      </c>
      <c r="L6" s="38" t="s">
        <v>72</v>
      </c>
      <c r="M6" s="38" t="s">
        <v>69</v>
      </c>
      <c r="N6" s="38" t="s">
        <v>70</v>
      </c>
      <c r="O6" s="38" t="s">
        <v>75</v>
      </c>
      <c r="P6" s="38" t="s">
        <v>76</v>
      </c>
      <c r="Q6" s="38" t="s">
        <v>77</v>
      </c>
      <c r="U6" s="38">
        <v>50272.8</v>
      </c>
      <c r="V6" s="38">
        <v>82219.88</v>
      </c>
      <c r="W6" s="38">
        <v>29.36</v>
      </c>
      <c r="Z6" s="38">
        <v>2.45</v>
      </c>
      <c r="AF6" s="38">
        <v>615454.79</v>
      </c>
      <c r="AG6" s="38">
        <v>3.33</v>
      </c>
      <c r="AH6" s="38">
        <v>975984.34</v>
      </c>
      <c r="AP6" s="38">
        <v>50272.8</v>
      </c>
      <c r="AQ6" s="38">
        <v>44456.23</v>
      </c>
      <c r="AR6" s="38">
        <v>191247.28</v>
      </c>
      <c r="AS6" s="38">
        <v>191147.86</v>
      </c>
      <c r="AT6" s="38">
        <v>91.82</v>
      </c>
      <c r="AW6" s="38">
        <v>7.6</v>
      </c>
      <c r="BC6" s="38">
        <v>336906.17</v>
      </c>
      <c r="BD6" s="38">
        <v>10735.83</v>
      </c>
      <c r="BF6" s="38">
        <v>583346</v>
      </c>
      <c r="BG6" s="39">
        <f t="shared" si="0"/>
        <v>0.0762090251754533</v>
      </c>
      <c r="BH6" s="39">
        <f t="shared" si="1"/>
        <v>0.32784536107216</v>
      </c>
    </row>
    <row r="7" spans="1:60">
      <c r="A7" s="38">
        <v>6</v>
      </c>
      <c r="B7" s="38">
        <v>6</v>
      </c>
      <c r="C7" s="38">
        <v>2019</v>
      </c>
      <c r="F7" s="38" t="s">
        <v>56</v>
      </c>
      <c r="G7" s="38" t="s">
        <v>57</v>
      </c>
      <c r="H7" s="38">
        <v>820314.23</v>
      </c>
      <c r="I7" s="38" t="s">
        <v>58</v>
      </c>
      <c r="J7" s="38" t="s">
        <v>78</v>
      </c>
      <c r="K7" s="38" t="s">
        <v>79</v>
      </c>
      <c r="L7" s="38" t="s">
        <v>80</v>
      </c>
      <c r="M7" s="38" t="s">
        <v>59</v>
      </c>
      <c r="N7" s="38" t="s">
        <v>81</v>
      </c>
      <c r="O7" s="38" t="s">
        <v>82</v>
      </c>
      <c r="P7" s="38" t="s">
        <v>70</v>
      </c>
      <c r="Q7" s="38" t="s">
        <v>83</v>
      </c>
      <c r="R7" s="38" t="s">
        <v>84</v>
      </c>
      <c r="U7" s="38">
        <v>58728.95</v>
      </c>
      <c r="V7" s="38">
        <v>86740.01</v>
      </c>
      <c r="W7" s="38">
        <v>210</v>
      </c>
      <c r="AF7" s="38">
        <v>611460.36</v>
      </c>
      <c r="AG7" s="38">
        <v>6.88</v>
      </c>
      <c r="AH7" s="38">
        <v>957009.96</v>
      </c>
      <c r="AP7" s="38">
        <v>58728.95</v>
      </c>
      <c r="AQ7" s="38">
        <v>51934.01</v>
      </c>
      <c r="AR7" s="38">
        <v>218183.84</v>
      </c>
      <c r="AS7" s="38">
        <v>217527.07</v>
      </c>
      <c r="AT7" s="38">
        <v>656.77</v>
      </c>
      <c r="BC7" s="38">
        <v>325660.46</v>
      </c>
      <c r="BD7" s="38">
        <v>10527.11</v>
      </c>
      <c r="BF7" s="38">
        <v>606305</v>
      </c>
      <c r="BG7" s="39">
        <f t="shared" si="0"/>
        <v>0.0856565754859353</v>
      </c>
      <c r="BH7" s="39">
        <f t="shared" si="1"/>
        <v>0.359858223171506</v>
      </c>
    </row>
    <row r="8" spans="1:60">
      <c r="A8" s="38">
        <v>7</v>
      </c>
      <c r="B8" s="38">
        <v>7</v>
      </c>
      <c r="C8" s="38">
        <v>2019</v>
      </c>
      <c r="F8" s="38" t="s">
        <v>56</v>
      </c>
      <c r="G8" s="38" t="s">
        <v>57</v>
      </c>
      <c r="H8" s="38">
        <v>940700</v>
      </c>
      <c r="I8" s="38" t="s">
        <v>58</v>
      </c>
      <c r="J8" s="38" t="s">
        <v>74</v>
      </c>
      <c r="K8" s="38" t="s">
        <v>71</v>
      </c>
      <c r="L8" s="38" t="s">
        <v>72</v>
      </c>
      <c r="M8" s="38" t="s">
        <v>85</v>
      </c>
      <c r="N8" s="38" t="s">
        <v>75</v>
      </c>
      <c r="O8" s="38" t="s">
        <v>76</v>
      </c>
      <c r="P8" s="38" t="s">
        <v>77</v>
      </c>
      <c r="U8" s="38">
        <v>85616.36</v>
      </c>
      <c r="V8" s="38">
        <v>104660.74</v>
      </c>
      <c r="W8" s="38">
        <v>15.78</v>
      </c>
      <c r="AF8" s="38">
        <v>719931.2</v>
      </c>
      <c r="AG8" s="38">
        <v>18.35</v>
      </c>
      <c r="AH8" s="38">
        <v>1134775</v>
      </c>
      <c r="AP8" s="38">
        <v>85616.36</v>
      </c>
      <c r="AQ8" s="38">
        <v>75710.55</v>
      </c>
      <c r="AR8" s="38">
        <v>262932.17</v>
      </c>
      <c r="AS8" s="38">
        <v>262882.82</v>
      </c>
      <c r="AT8" s="38">
        <v>49.35</v>
      </c>
      <c r="BC8" s="38">
        <v>364622.56</v>
      </c>
      <c r="BD8" s="38">
        <v>4160.84</v>
      </c>
      <c r="BF8" s="38">
        <v>707426</v>
      </c>
      <c r="BG8" s="39">
        <f t="shared" si="0"/>
        <v>0.107022571972192</v>
      </c>
      <c r="BH8" s="39">
        <f t="shared" si="1"/>
        <v>0.371674450755273</v>
      </c>
    </row>
    <row r="9" spans="1:60">
      <c r="A9" s="38">
        <v>8</v>
      </c>
      <c r="B9" s="38">
        <v>8</v>
      </c>
      <c r="C9" s="38">
        <v>2018</v>
      </c>
      <c r="F9" s="38" t="s">
        <v>56</v>
      </c>
      <c r="G9" s="38" t="s">
        <v>57</v>
      </c>
      <c r="H9" s="38">
        <v>515916</v>
      </c>
      <c r="I9" s="38" t="s">
        <v>58</v>
      </c>
      <c r="J9" s="38" t="s">
        <v>86</v>
      </c>
      <c r="K9" s="38" t="s">
        <v>87</v>
      </c>
      <c r="L9" s="38" t="s">
        <v>88</v>
      </c>
      <c r="M9" s="38" t="s">
        <v>89</v>
      </c>
      <c r="N9" s="38" t="s">
        <v>59</v>
      </c>
      <c r="O9" s="38" t="s">
        <v>90</v>
      </c>
      <c r="P9" s="38" t="s">
        <v>91</v>
      </c>
      <c r="Q9" s="38" t="s">
        <v>61</v>
      </c>
      <c r="R9" s="38" t="s">
        <v>64</v>
      </c>
      <c r="U9" s="38">
        <v>38971.741</v>
      </c>
      <c r="V9" s="38">
        <v>106024</v>
      </c>
      <c r="W9" s="38">
        <v>74.2</v>
      </c>
      <c r="X9" s="38">
        <v>3.52</v>
      </c>
      <c r="AF9" s="38">
        <v>806999</v>
      </c>
      <c r="AG9" s="38">
        <v>6.83</v>
      </c>
      <c r="AH9" s="38">
        <v>1227994</v>
      </c>
      <c r="AP9" s="38">
        <v>38971.741</v>
      </c>
      <c r="AQ9" s="38">
        <v>34462.71</v>
      </c>
      <c r="AR9" s="38">
        <v>266549.47</v>
      </c>
      <c r="AS9" s="38">
        <v>266307.01</v>
      </c>
      <c r="AT9" s="38">
        <v>232.07</v>
      </c>
      <c r="AU9" s="38">
        <v>10.32</v>
      </c>
      <c r="BC9" s="38">
        <v>440992.74</v>
      </c>
      <c r="BD9" s="38">
        <v>13507.93</v>
      </c>
      <c r="BF9" s="38">
        <v>755513</v>
      </c>
      <c r="BG9" s="39">
        <f t="shared" si="0"/>
        <v>0.0456149794907566</v>
      </c>
      <c r="BH9" s="39">
        <f t="shared" si="1"/>
        <v>0.352805934510723</v>
      </c>
    </row>
    <row r="10" spans="1:60">
      <c r="A10" s="38">
        <v>9</v>
      </c>
      <c r="B10" s="38">
        <v>9</v>
      </c>
      <c r="C10" s="38">
        <v>2018</v>
      </c>
      <c r="F10" s="38" t="s">
        <v>56</v>
      </c>
      <c r="G10" s="38" t="s">
        <v>57</v>
      </c>
      <c r="H10" s="38" t="s">
        <v>92</v>
      </c>
      <c r="I10" s="38" t="s">
        <v>58</v>
      </c>
      <c r="J10" s="38" t="s">
        <v>93</v>
      </c>
      <c r="K10" s="38" t="s">
        <v>67</v>
      </c>
      <c r="L10" s="38" t="s">
        <v>68</v>
      </c>
      <c r="M10" s="38" t="s">
        <v>94</v>
      </c>
      <c r="N10" s="38" t="s">
        <v>59</v>
      </c>
      <c r="O10" s="38" t="s">
        <v>95</v>
      </c>
      <c r="P10" s="38" t="s">
        <v>96</v>
      </c>
      <c r="Q10" s="38" t="s">
        <v>97</v>
      </c>
      <c r="R10" s="38" t="s">
        <v>98</v>
      </c>
      <c r="U10" s="38">
        <v>24953.469</v>
      </c>
      <c r="V10" s="38">
        <v>100154.56</v>
      </c>
      <c r="W10" s="38">
        <v>21.41</v>
      </c>
      <c r="X10" s="38">
        <v>5.3</v>
      </c>
      <c r="AF10" s="38">
        <v>719837.68</v>
      </c>
      <c r="AG10" s="38">
        <v>8</v>
      </c>
      <c r="AH10" s="38">
        <v>1160971.54</v>
      </c>
      <c r="AP10" s="38">
        <v>24953.469</v>
      </c>
      <c r="AQ10" s="38">
        <v>22066.35</v>
      </c>
      <c r="AR10" s="38">
        <v>234122.29</v>
      </c>
      <c r="AS10" s="38">
        <v>234039.66</v>
      </c>
      <c r="AT10" s="38">
        <v>66.96</v>
      </c>
      <c r="AU10" s="38">
        <v>15.66</v>
      </c>
      <c r="BC10" s="38">
        <v>385463.01</v>
      </c>
      <c r="BD10" s="38">
        <v>12770.69</v>
      </c>
      <c r="BF10" s="38">
        <v>654422</v>
      </c>
      <c r="BG10" s="39">
        <f t="shared" si="0"/>
        <v>0.0337188389143397</v>
      </c>
      <c r="BH10" s="39">
        <f t="shared" si="1"/>
        <v>0.357754308382053</v>
      </c>
    </row>
    <row r="11" spans="1:60">
      <c r="A11" s="38">
        <v>10</v>
      </c>
      <c r="B11" s="38">
        <v>10</v>
      </c>
      <c r="C11" s="38">
        <v>2016</v>
      </c>
      <c r="D11" s="38" t="s">
        <v>99</v>
      </c>
      <c r="F11" s="38" t="s">
        <v>56</v>
      </c>
      <c r="G11" s="38" t="s">
        <v>57</v>
      </c>
      <c r="H11" s="38">
        <v>133020</v>
      </c>
      <c r="I11" s="38" t="s">
        <v>58</v>
      </c>
      <c r="J11" s="38" t="s">
        <v>100</v>
      </c>
      <c r="K11" s="38" t="s">
        <v>101</v>
      </c>
      <c r="L11" s="38" t="s">
        <v>71</v>
      </c>
      <c r="M11" s="38" t="s">
        <v>59</v>
      </c>
      <c r="N11" s="38" t="s">
        <v>81</v>
      </c>
      <c r="O11" s="38" t="s">
        <v>72</v>
      </c>
      <c r="P11" s="38" t="s">
        <v>102</v>
      </c>
      <c r="Q11" s="38" t="s">
        <v>103</v>
      </c>
      <c r="R11" s="38" t="s">
        <v>104</v>
      </c>
      <c r="U11" s="38">
        <v>18724.6</v>
      </c>
      <c r="V11" s="38">
        <v>13293</v>
      </c>
      <c r="W11" s="38">
        <v>111.945</v>
      </c>
      <c r="AF11" s="38">
        <v>91001</v>
      </c>
      <c r="AG11" s="38">
        <v>4.57</v>
      </c>
      <c r="AH11" s="38">
        <v>130106</v>
      </c>
      <c r="AP11" s="38">
        <v>18724.6</v>
      </c>
      <c r="AQ11" s="38">
        <v>16558.1638</v>
      </c>
      <c r="AR11" s="38">
        <v>31134.1242</v>
      </c>
      <c r="AS11" s="38">
        <v>30784.016</v>
      </c>
      <c r="AT11" s="38">
        <v>350.108</v>
      </c>
      <c r="BC11" s="38">
        <v>29854.5072</v>
      </c>
      <c r="BD11" s="38">
        <v>1431.166</v>
      </c>
      <c r="BF11" s="38">
        <v>78977.9613</v>
      </c>
      <c r="BG11" s="39">
        <f t="shared" si="0"/>
        <v>0.209655497906604</v>
      </c>
      <c r="BH11" s="39">
        <f t="shared" si="1"/>
        <v>0.394212811872114</v>
      </c>
    </row>
    <row r="12" spans="1:60">
      <c r="A12" s="38">
        <v>11</v>
      </c>
      <c r="B12" s="38">
        <v>10</v>
      </c>
      <c r="C12" s="38">
        <v>2017</v>
      </c>
      <c r="D12" s="38" t="s">
        <v>99</v>
      </c>
      <c r="F12" s="38" t="s">
        <v>56</v>
      </c>
      <c r="G12" s="38" t="s">
        <v>57</v>
      </c>
      <c r="H12" s="38">
        <v>14.8355</v>
      </c>
      <c r="I12" s="38" t="s">
        <v>58</v>
      </c>
      <c r="J12" s="38" t="s">
        <v>100</v>
      </c>
      <c r="K12" s="38" t="s">
        <v>101</v>
      </c>
      <c r="L12" s="38" t="s">
        <v>71</v>
      </c>
      <c r="M12" s="38" t="s">
        <v>59</v>
      </c>
      <c r="N12" s="38" t="s">
        <v>81</v>
      </c>
      <c r="O12" s="38" t="s">
        <v>72</v>
      </c>
      <c r="P12" s="38" t="s">
        <v>102</v>
      </c>
      <c r="Q12" s="38" t="s">
        <v>103</v>
      </c>
      <c r="R12" s="38" t="s">
        <v>104</v>
      </c>
      <c r="U12" s="38">
        <v>21441.8</v>
      </c>
      <c r="V12" s="38">
        <v>17127</v>
      </c>
      <c r="W12" s="38">
        <v>121.783</v>
      </c>
      <c r="AF12" s="38">
        <v>102665</v>
      </c>
      <c r="AG12" s="38">
        <v>2.5911</v>
      </c>
      <c r="AH12" s="38">
        <v>145905</v>
      </c>
      <c r="AP12" s="38">
        <v>21441.8</v>
      </c>
      <c r="AQ12" s="38">
        <v>18960.9837</v>
      </c>
      <c r="AR12" s="38">
        <v>39236.4855</v>
      </c>
      <c r="AS12" s="38">
        <v>38855.609</v>
      </c>
      <c r="AT12" s="38">
        <v>380.876</v>
      </c>
      <c r="BC12" s="38">
        <v>37174.7614</v>
      </c>
      <c r="BD12" s="38">
        <v>1604.955</v>
      </c>
      <c r="BF12" s="38">
        <v>96977.1856</v>
      </c>
      <c r="BG12" s="39">
        <f t="shared" si="0"/>
        <v>0.195520045077489</v>
      </c>
      <c r="BH12" s="39">
        <f t="shared" si="1"/>
        <v>0.404595011262113</v>
      </c>
    </row>
    <row r="13" ht="15" spans="1:60">
      <c r="A13" s="38">
        <v>12</v>
      </c>
      <c r="B13" s="38">
        <v>11</v>
      </c>
      <c r="C13" s="38">
        <v>2016</v>
      </c>
      <c r="D13" s="38" t="s">
        <v>105</v>
      </c>
      <c r="F13" s="38" t="s">
        <v>56</v>
      </c>
      <c r="G13" s="38" t="s">
        <v>57</v>
      </c>
      <c r="H13" s="38" t="s">
        <v>92</v>
      </c>
      <c r="I13" s="38" t="s">
        <v>58</v>
      </c>
      <c r="J13" s="38" t="s">
        <v>106</v>
      </c>
      <c r="K13" s="38" t="s">
        <v>66</v>
      </c>
      <c r="L13" s="38" t="s">
        <v>107</v>
      </c>
      <c r="M13" s="38" t="s">
        <v>108</v>
      </c>
      <c r="N13" s="38" t="s">
        <v>109</v>
      </c>
      <c r="O13" s="38" t="s">
        <v>86</v>
      </c>
      <c r="P13" s="38" t="s">
        <v>110</v>
      </c>
      <c r="Q13" s="38" t="s">
        <v>111</v>
      </c>
      <c r="R13" s="38" t="s">
        <v>112</v>
      </c>
      <c r="S13" s="38" t="s">
        <v>113</v>
      </c>
      <c r="T13" s="38" t="s">
        <v>114</v>
      </c>
      <c r="U13" s="38">
        <v>47345.46</v>
      </c>
      <c r="V13" s="38">
        <v>185601</v>
      </c>
      <c r="W13" s="38">
        <v>283</v>
      </c>
      <c r="Z13" s="38">
        <v>1.7</v>
      </c>
      <c r="AF13" s="38">
        <v>1364013</v>
      </c>
      <c r="AG13" s="38">
        <v>29.41</v>
      </c>
      <c r="AH13" s="38">
        <v>2082594</v>
      </c>
      <c r="AP13" s="38">
        <v>47345.46</v>
      </c>
      <c r="AQ13" s="38">
        <v>41867.592</v>
      </c>
      <c r="AR13" s="38">
        <v>405947.905</v>
      </c>
      <c r="AS13" s="38">
        <v>405057.544</v>
      </c>
      <c r="AT13" s="38">
        <v>885.083</v>
      </c>
      <c r="AW13" s="38">
        <v>5.278</v>
      </c>
      <c r="BC13" s="38">
        <v>675372.4726</v>
      </c>
      <c r="BD13" s="38">
        <v>22908.534</v>
      </c>
      <c r="BF13" s="38">
        <v>1146096.504</v>
      </c>
      <c r="BG13" s="39">
        <f t="shared" si="0"/>
        <v>0.0365305991719524</v>
      </c>
      <c r="BH13" s="39">
        <f t="shared" si="1"/>
        <v>0.354200456578655</v>
      </c>
    </row>
    <row r="14" ht="15" spans="1:60">
      <c r="A14" s="38">
        <v>13</v>
      </c>
      <c r="B14" s="38">
        <v>11</v>
      </c>
      <c r="C14" s="38">
        <v>2017</v>
      </c>
      <c r="D14" s="38" t="s">
        <v>105</v>
      </c>
      <c r="F14" s="38" t="s">
        <v>56</v>
      </c>
      <c r="G14" s="38" t="s">
        <v>57</v>
      </c>
      <c r="H14" s="38" t="s">
        <v>92</v>
      </c>
      <c r="I14" s="38" t="s">
        <v>58</v>
      </c>
      <c r="J14" s="38" t="s">
        <v>106</v>
      </c>
      <c r="K14" s="38" t="s">
        <v>66</v>
      </c>
      <c r="L14" s="38" t="s">
        <v>107</v>
      </c>
      <c r="M14" s="38" t="s">
        <v>108</v>
      </c>
      <c r="N14" s="38" t="s">
        <v>109</v>
      </c>
      <c r="O14" s="38" t="s">
        <v>86</v>
      </c>
      <c r="P14" s="38" t="s">
        <v>110</v>
      </c>
      <c r="Q14" s="38" t="s">
        <v>111</v>
      </c>
      <c r="R14" s="38" t="s">
        <v>112</v>
      </c>
      <c r="S14" s="38" t="s">
        <v>113</v>
      </c>
      <c r="T14" s="38" t="s">
        <v>114</v>
      </c>
      <c r="U14" s="38">
        <v>39068.24</v>
      </c>
      <c r="V14" s="38">
        <v>144609.04</v>
      </c>
      <c r="W14" s="38">
        <v>133.52</v>
      </c>
      <c r="Z14" s="38">
        <v>1.96</v>
      </c>
      <c r="AF14" s="38">
        <v>1078426</v>
      </c>
      <c r="AG14" s="38">
        <v>19.45</v>
      </c>
      <c r="AH14" s="38">
        <v>1673965</v>
      </c>
      <c r="AP14" s="38">
        <v>39068.24</v>
      </c>
      <c r="AQ14" s="38">
        <v>34548.04463</v>
      </c>
      <c r="AR14" s="38">
        <v>317747.6274</v>
      </c>
      <c r="AS14" s="38">
        <v>317323.958</v>
      </c>
      <c r="AT14" s="38">
        <v>417.584</v>
      </c>
      <c r="AW14" s="38">
        <v>6.086</v>
      </c>
      <c r="BC14" s="38">
        <v>547981.2427</v>
      </c>
      <c r="BD14" s="38">
        <v>18413.615</v>
      </c>
      <c r="BF14" s="38">
        <v>918690.5297</v>
      </c>
      <c r="BG14" s="39">
        <f t="shared" si="0"/>
        <v>0.037605748087206</v>
      </c>
      <c r="BH14" s="39">
        <f t="shared" si="1"/>
        <v>0.345870145742942</v>
      </c>
    </row>
    <row r="15" spans="1:60">
      <c r="A15" s="38">
        <v>14</v>
      </c>
      <c r="B15" s="38">
        <v>12</v>
      </c>
      <c r="C15" s="38">
        <v>2016</v>
      </c>
      <c r="D15" s="38" t="s">
        <v>115</v>
      </c>
      <c r="F15" s="38" t="s">
        <v>56</v>
      </c>
      <c r="G15" s="38" t="s">
        <v>57</v>
      </c>
      <c r="H15" s="38">
        <v>1277954</v>
      </c>
      <c r="I15" s="38" t="s">
        <v>58</v>
      </c>
      <c r="J15" s="38" t="s">
        <v>116</v>
      </c>
      <c r="K15" s="38" t="s">
        <v>71</v>
      </c>
      <c r="L15" s="38" t="s">
        <v>59</v>
      </c>
      <c r="M15" s="38" t="s">
        <v>117</v>
      </c>
      <c r="N15" s="38" t="s">
        <v>68</v>
      </c>
      <c r="O15" s="38" t="s">
        <v>118</v>
      </c>
      <c r="P15" s="38" t="s">
        <v>70</v>
      </c>
      <c r="U15" s="38">
        <v>119059.669</v>
      </c>
      <c r="V15" s="38">
        <v>253771.94</v>
      </c>
      <c r="W15" s="38">
        <v>731.26</v>
      </c>
      <c r="Z15" s="38">
        <v>6.994</v>
      </c>
      <c r="AF15" s="38">
        <v>1873936</v>
      </c>
      <c r="AG15" s="38">
        <v>38.46</v>
      </c>
      <c r="AH15" s="38">
        <v>2717207.2</v>
      </c>
      <c r="AP15" s="38">
        <v>119059.669</v>
      </c>
      <c r="AQ15" s="38">
        <v>105284.4653</v>
      </c>
      <c r="AR15" s="38">
        <v>549509.316</v>
      </c>
      <c r="AS15" s="38">
        <v>547189.15</v>
      </c>
      <c r="AT15" s="38">
        <v>2298.45</v>
      </c>
      <c r="AW15" s="38">
        <v>21.715</v>
      </c>
      <c r="BC15" s="38">
        <v>988575.0698</v>
      </c>
      <c r="BD15" s="38">
        <v>29889.2792</v>
      </c>
      <c r="BF15" s="38">
        <v>1673258.13</v>
      </c>
      <c r="BG15" s="39">
        <f t="shared" si="0"/>
        <v>0.0629218310147999</v>
      </c>
      <c r="BH15" s="39">
        <f t="shared" si="1"/>
        <v>0.328406780847376</v>
      </c>
    </row>
    <row r="16" spans="1:60">
      <c r="A16" s="38">
        <v>15</v>
      </c>
      <c r="B16" s="38">
        <v>12</v>
      </c>
      <c r="C16" s="38">
        <v>2017</v>
      </c>
      <c r="D16" s="38" t="s">
        <v>115</v>
      </c>
      <c r="F16" s="38" t="s">
        <v>56</v>
      </c>
      <c r="G16" s="38" t="s">
        <v>57</v>
      </c>
      <c r="H16" s="38">
        <v>1136855</v>
      </c>
      <c r="I16" s="38" t="s">
        <v>58</v>
      </c>
      <c r="J16" s="38" t="s">
        <v>116</v>
      </c>
      <c r="K16" s="38" t="s">
        <v>71</v>
      </c>
      <c r="L16" s="38" t="s">
        <v>59</v>
      </c>
      <c r="M16" s="38" t="s">
        <v>117</v>
      </c>
      <c r="N16" s="38" t="s">
        <v>68</v>
      </c>
      <c r="O16" s="38" t="s">
        <v>118</v>
      </c>
      <c r="P16" s="38" t="s">
        <v>70</v>
      </c>
      <c r="U16" s="38">
        <v>113679.74</v>
      </c>
      <c r="V16" s="38">
        <v>239657.68</v>
      </c>
      <c r="W16" s="38">
        <v>821.65</v>
      </c>
      <c r="Z16" s="38">
        <v>6.915</v>
      </c>
      <c r="AF16" s="38">
        <v>1776154</v>
      </c>
      <c r="AG16" s="38">
        <v>26.62</v>
      </c>
      <c r="AH16" s="38">
        <v>2575423.2</v>
      </c>
      <c r="AP16" s="38">
        <v>113679.74</v>
      </c>
      <c r="AQ16" s="38">
        <v>100526.994</v>
      </c>
      <c r="AR16" s="38">
        <v>515060.87</v>
      </c>
      <c r="AS16" s="38">
        <v>512457.596</v>
      </c>
      <c r="AT16" s="38">
        <v>2581.803</v>
      </c>
      <c r="AW16" s="38">
        <v>21.47</v>
      </c>
      <c r="BC16" s="38">
        <v>943377.738</v>
      </c>
      <c r="BD16" s="38">
        <v>28329.6552</v>
      </c>
      <c r="BF16" s="38">
        <v>1587295.26</v>
      </c>
      <c r="BG16" s="39">
        <f t="shared" si="0"/>
        <v>0.0633322586750495</v>
      </c>
      <c r="BH16" s="39">
        <f t="shared" si="1"/>
        <v>0.324489641580609</v>
      </c>
    </row>
    <row r="17" ht="15" spans="1:60">
      <c r="A17" s="38">
        <v>16</v>
      </c>
      <c r="B17" s="38">
        <v>13</v>
      </c>
      <c r="C17" s="38">
        <v>2016</v>
      </c>
      <c r="D17" s="38" t="s">
        <v>119</v>
      </c>
      <c r="F17" s="38" t="s">
        <v>56</v>
      </c>
      <c r="G17" s="38" t="s">
        <v>57</v>
      </c>
      <c r="H17" s="38">
        <v>1138533</v>
      </c>
      <c r="I17" s="38" t="s">
        <v>58</v>
      </c>
      <c r="J17" s="38" t="s">
        <v>59</v>
      </c>
      <c r="K17" s="38" t="s">
        <v>116</v>
      </c>
      <c r="L17" s="38" t="s">
        <v>120</v>
      </c>
      <c r="M17" s="38" t="s">
        <v>121</v>
      </c>
      <c r="N17" s="38" t="s">
        <v>122</v>
      </c>
      <c r="O17" s="38" t="s">
        <v>123</v>
      </c>
      <c r="P17" s="38" t="s">
        <v>124</v>
      </c>
      <c r="U17" s="38">
        <v>85645.75</v>
      </c>
      <c r="V17" s="38">
        <v>59230</v>
      </c>
      <c r="W17" s="38">
        <v>317</v>
      </c>
      <c r="AA17" s="38">
        <v>6850</v>
      </c>
      <c r="AF17" s="38">
        <v>382325</v>
      </c>
      <c r="AG17" s="38">
        <v>16.47</v>
      </c>
      <c r="AH17" s="38">
        <v>611721</v>
      </c>
      <c r="AP17" s="38">
        <v>85645.75</v>
      </c>
      <c r="AQ17" s="38">
        <v>75736.54</v>
      </c>
      <c r="AR17" s="38">
        <v>121056.67</v>
      </c>
      <c r="AS17" s="38">
        <v>116677.08</v>
      </c>
      <c r="AT17" s="38">
        <v>991.42</v>
      </c>
      <c r="AX17" s="38">
        <v>3388.18</v>
      </c>
      <c r="BC17" s="38">
        <v>202048.4</v>
      </c>
      <c r="BD17" s="38">
        <v>2242.98</v>
      </c>
      <c r="BF17" s="38">
        <v>401085</v>
      </c>
      <c r="BG17" s="39">
        <f t="shared" si="0"/>
        <v>0.188829150928107</v>
      </c>
      <c r="BH17" s="39">
        <f t="shared" si="1"/>
        <v>0.301822980166299</v>
      </c>
    </row>
    <row r="18" ht="15" spans="1:60">
      <c r="A18" s="38">
        <v>17</v>
      </c>
      <c r="B18" s="38">
        <v>13</v>
      </c>
      <c r="C18" s="38">
        <v>2017</v>
      </c>
      <c r="D18" s="38" t="s">
        <v>119</v>
      </c>
      <c r="F18" s="38" t="s">
        <v>56</v>
      </c>
      <c r="G18" s="38" t="s">
        <v>57</v>
      </c>
      <c r="H18" s="38">
        <v>1560002</v>
      </c>
      <c r="I18" s="38" t="s">
        <v>58</v>
      </c>
      <c r="J18" s="38" t="s">
        <v>59</v>
      </c>
      <c r="K18" s="38" t="s">
        <v>116</v>
      </c>
      <c r="L18" s="38" t="s">
        <v>120</v>
      </c>
      <c r="M18" s="38" t="s">
        <v>121</v>
      </c>
      <c r="N18" s="38" t="s">
        <v>122</v>
      </c>
      <c r="O18" s="38" t="s">
        <v>123</v>
      </c>
      <c r="P18" s="38" t="s">
        <v>124</v>
      </c>
      <c r="U18" s="38">
        <v>62591.02</v>
      </c>
      <c r="V18" s="38">
        <v>0</v>
      </c>
      <c r="W18" s="38">
        <v>179</v>
      </c>
      <c r="AA18" s="38">
        <v>10830</v>
      </c>
      <c r="AF18" s="38">
        <v>0</v>
      </c>
      <c r="AG18" s="38">
        <v>0</v>
      </c>
      <c r="AH18" s="38">
        <v>0</v>
      </c>
      <c r="AP18" s="38">
        <v>62591.02</v>
      </c>
      <c r="AQ18" s="38">
        <v>55349.24</v>
      </c>
      <c r="AR18" s="38">
        <v>6005.39</v>
      </c>
      <c r="AS18" s="38">
        <v>0</v>
      </c>
      <c r="AT18" s="38">
        <v>559.82</v>
      </c>
      <c r="AX18" s="38">
        <v>5445.57</v>
      </c>
      <c r="BC18" s="38">
        <v>0</v>
      </c>
      <c r="BD18" s="38">
        <v>0</v>
      </c>
      <c r="BF18" s="38">
        <v>61355</v>
      </c>
      <c r="BG18" s="39">
        <f t="shared" si="0"/>
        <v>0.902114579088909</v>
      </c>
      <c r="BH18" s="39">
        <f t="shared" si="1"/>
        <v>0.0978793904327276</v>
      </c>
    </row>
    <row r="19" spans="1:60">
      <c r="A19" s="38">
        <v>18</v>
      </c>
      <c r="B19" s="38">
        <v>14</v>
      </c>
      <c r="C19" s="38">
        <v>2018</v>
      </c>
      <c r="F19" s="38" t="s">
        <v>56</v>
      </c>
      <c r="G19" s="38" t="s">
        <v>57</v>
      </c>
      <c r="H19" s="38" t="s">
        <v>92</v>
      </c>
      <c r="I19" s="38" t="s">
        <v>58</v>
      </c>
      <c r="J19" s="38" t="s">
        <v>59</v>
      </c>
      <c r="K19" s="38" t="s">
        <v>67</v>
      </c>
      <c r="L19" s="38" t="s">
        <v>79</v>
      </c>
      <c r="M19" s="38" t="s">
        <v>125</v>
      </c>
      <c r="N19" s="38" t="s">
        <v>70</v>
      </c>
      <c r="U19" s="38">
        <v>77820.9</v>
      </c>
      <c r="V19" s="38">
        <v>209040.3</v>
      </c>
      <c r="W19" s="38">
        <v>299.43</v>
      </c>
      <c r="AF19" s="38">
        <v>1349626.29</v>
      </c>
      <c r="AG19" s="38">
        <v>12.1485</v>
      </c>
      <c r="AH19" s="38">
        <v>2186394.59</v>
      </c>
      <c r="AP19" s="38">
        <v>77820.9</v>
      </c>
      <c r="AQ19" s="38">
        <v>40910.45</v>
      </c>
      <c r="AR19" s="38">
        <v>525995.82</v>
      </c>
      <c r="AS19" s="38">
        <v>525059.36</v>
      </c>
      <c r="AT19" s="38">
        <v>936.46</v>
      </c>
      <c r="BC19" s="38">
        <v>739268.31</v>
      </c>
      <c r="BD19" s="38">
        <v>8016.78</v>
      </c>
      <c r="BF19" s="38">
        <v>1314191</v>
      </c>
      <c r="BG19" s="39">
        <f t="shared" si="0"/>
        <v>0.0311297596772463</v>
      </c>
      <c r="BH19" s="39">
        <f t="shared" si="1"/>
        <v>0.400243054472295</v>
      </c>
    </row>
    <row r="20" spans="1:60">
      <c r="A20" s="38">
        <v>19</v>
      </c>
      <c r="B20" s="38">
        <v>15</v>
      </c>
      <c r="C20" s="38">
        <v>2018</v>
      </c>
      <c r="F20" s="38" t="s">
        <v>56</v>
      </c>
      <c r="G20" s="38" t="s">
        <v>57</v>
      </c>
      <c r="H20" s="38" t="s">
        <v>92</v>
      </c>
      <c r="I20" s="38" t="s">
        <v>58</v>
      </c>
      <c r="J20" s="38" t="s">
        <v>59</v>
      </c>
      <c r="K20" s="38" t="s">
        <v>126</v>
      </c>
      <c r="L20" s="38" t="s">
        <v>70</v>
      </c>
      <c r="M20" s="38" t="s">
        <v>68</v>
      </c>
      <c r="U20" s="38">
        <v>59583.57</v>
      </c>
      <c r="V20" s="38">
        <v>208148.09</v>
      </c>
      <c r="W20" s="38">
        <v>47.26</v>
      </c>
      <c r="AF20" s="38">
        <v>1436662.96</v>
      </c>
      <c r="AG20" s="38">
        <v>31</v>
      </c>
      <c r="AH20" s="38">
        <v>2241194.22</v>
      </c>
      <c r="AP20" s="38">
        <v>59583.57</v>
      </c>
      <c r="AQ20" s="38">
        <v>31323.08</v>
      </c>
      <c r="AR20" s="38">
        <v>428388.91</v>
      </c>
      <c r="AS20" s="38">
        <v>428241.11</v>
      </c>
      <c r="AT20" s="38">
        <v>147.8</v>
      </c>
      <c r="BC20" s="38">
        <v>758867.9</v>
      </c>
      <c r="BD20" s="38">
        <v>24653.14</v>
      </c>
      <c r="BF20" s="38">
        <v>1243233</v>
      </c>
      <c r="BG20" s="39">
        <f t="shared" si="0"/>
        <v>0.0251948588880765</v>
      </c>
      <c r="BH20" s="39">
        <f t="shared" si="1"/>
        <v>0.344576527489216</v>
      </c>
    </row>
    <row r="21" spans="1:60">
      <c r="A21" s="38">
        <v>20</v>
      </c>
      <c r="B21" s="38">
        <v>16</v>
      </c>
      <c r="C21" s="38">
        <v>2018</v>
      </c>
      <c r="F21" s="38" t="s">
        <v>56</v>
      </c>
      <c r="G21" s="38" t="s">
        <v>57</v>
      </c>
      <c r="H21" s="38" t="s">
        <v>92</v>
      </c>
      <c r="I21" s="38" t="s">
        <v>58</v>
      </c>
      <c r="J21" s="38" t="s">
        <v>127</v>
      </c>
      <c r="K21" s="38" t="s">
        <v>79</v>
      </c>
      <c r="L21" s="38" t="s">
        <v>59</v>
      </c>
      <c r="M21" s="38" t="s">
        <v>128</v>
      </c>
      <c r="N21" s="38" t="s">
        <v>70</v>
      </c>
      <c r="O21" s="38" t="s">
        <v>129</v>
      </c>
      <c r="P21" s="38" t="s">
        <v>64</v>
      </c>
      <c r="Q21" s="38" t="s">
        <v>80</v>
      </c>
      <c r="U21" s="38">
        <v>121448.245</v>
      </c>
      <c r="V21" s="38">
        <v>255799</v>
      </c>
      <c r="W21" s="38">
        <v>508.75</v>
      </c>
      <c r="X21" s="38">
        <v>23.38</v>
      </c>
      <c r="AB21" s="38">
        <v>1366.45</v>
      </c>
      <c r="AF21" s="38">
        <v>1805269</v>
      </c>
      <c r="AG21" s="38">
        <v>13.7</v>
      </c>
      <c r="AH21" s="38">
        <v>2762062</v>
      </c>
      <c r="AP21" s="38">
        <v>121448.245</v>
      </c>
      <c r="AQ21" s="38">
        <v>63845</v>
      </c>
      <c r="AR21" s="38">
        <v>535238</v>
      </c>
      <c r="AS21" s="38">
        <v>529911.11</v>
      </c>
      <c r="AT21" s="38">
        <v>1591.12</v>
      </c>
      <c r="AU21" s="38">
        <v>69.09</v>
      </c>
      <c r="AY21" s="38">
        <v>3666.87</v>
      </c>
      <c r="BC21" s="38">
        <v>963941</v>
      </c>
      <c r="BD21" s="38">
        <v>10127.56</v>
      </c>
      <c r="BF21" s="38">
        <v>1573152</v>
      </c>
      <c r="BG21" s="39">
        <f t="shared" si="0"/>
        <v>0.0405841266451049</v>
      </c>
      <c r="BH21" s="39">
        <f t="shared" si="1"/>
        <v>0.34023285734627</v>
      </c>
    </row>
    <row r="22" spans="1:60">
      <c r="A22" s="38">
        <v>21</v>
      </c>
      <c r="B22" s="38">
        <v>17</v>
      </c>
      <c r="C22" s="38">
        <v>2018</v>
      </c>
      <c r="F22" s="38" t="s">
        <v>56</v>
      </c>
      <c r="G22" s="38" t="s">
        <v>57</v>
      </c>
      <c r="H22" s="38">
        <v>200386</v>
      </c>
      <c r="I22" s="38" t="s">
        <v>58</v>
      </c>
      <c r="J22" s="38" t="s">
        <v>120</v>
      </c>
      <c r="K22" s="38" t="s">
        <v>129</v>
      </c>
      <c r="L22" s="38" t="s">
        <v>126</v>
      </c>
      <c r="M22" s="38" t="s">
        <v>70</v>
      </c>
      <c r="N22" s="38" t="s">
        <v>64</v>
      </c>
      <c r="U22" s="38">
        <v>49125.12</v>
      </c>
      <c r="V22" s="38">
        <v>18081.53</v>
      </c>
      <c r="W22" s="38">
        <v>1.99</v>
      </c>
      <c r="X22" s="38">
        <v>16.35</v>
      </c>
      <c r="AP22" s="38">
        <v>49125.12</v>
      </c>
      <c r="AQ22" s="38">
        <v>25825.08</v>
      </c>
      <c r="AR22" s="38">
        <v>44337.23</v>
      </c>
      <c r="AS22" s="38">
        <v>44282.69</v>
      </c>
      <c r="AT22" s="38">
        <v>6.22</v>
      </c>
      <c r="AU22" s="38">
        <v>48.31</v>
      </c>
      <c r="BF22" s="38">
        <v>70162.3</v>
      </c>
      <c r="BG22" s="39">
        <f t="shared" si="0"/>
        <v>0.368076303085845</v>
      </c>
      <c r="BH22" s="39">
        <f t="shared" si="1"/>
        <v>0.631923839440839</v>
      </c>
    </row>
    <row r="23" spans="1:60">
      <c r="A23" s="38">
        <v>22</v>
      </c>
      <c r="B23" s="38">
        <v>18</v>
      </c>
      <c r="C23" s="38">
        <v>2018</v>
      </c>
      <c r="F23" s="38" t="s">
        <v>56</v>
      </c>
      <c r="G23" s="38" t="s">
        <v>57</v>
      </c>
      <c r="H23" s="38" t="s">
        <v>92</v>
      </c>
      <c r="I23" s="38" t="s">
        <v>58</v>
      </c>
      <c r="J23" s="38" t="s">
        <v>116</v>
      </c>
      <c r="K23" s="38" t="s">
        <v>126</v>
      </c>
      <c r="L23" s="38" t="s">
        <v>59</v>
      </c>
      <c r="M23" s="38" t="s">
        <v>61</v>
      </c>
      <c r="N23" s="38" t="s">
        <v>62</v>
      </c>
      <c r="U23" s="38">
        <v>15910.33</v>
      </c>
      <c r="W23" s="38">
        <v>38.692</v>
      </c>
      <c r="AC23" s="38">
        <v>20687.66</v>
      </c>
      <c r="AF23" s="38">
        <v>85463.08</v>
      </c>
      <c r="AG23" s="38">
        <v>8.31</v>
      </c>
      <c r="AH23" s="38">
        <v>144174.49</v>
      </c>
      <c r="AP23" s="38">
        <v>15910.33</v>
      </c>
      <c r="AQ23" s="38">
        <v>8364</v>
      </c>
      <c r="AR23" s="38">
        <v>49883</v>
      </c>
      <c r="AT23" s="38">
        <v>121.01</v>
      </c>
      <c r="AZ23" s="38">
        <v>49761.71</v>
      </c>
      <c r="BC23" s="38">
        <v>47837</v>
      </c>
      <c r="BD23" s="38">
        <v>529</v>
      </c>
      <c r="BF23" s="38">
        <v>106613</v>
      </c>
      <c r="BG23" s="39">
        <f t="shared" si="0"/>
        <v>0.0784519711479838</v>
      </c>
      <c r="BH23" s="39">
        <f t="shared" si="1"/>
        <v>0.467888531417369</v>
      </c>
    </row>
    <row r="24" spans="1:60">
      <c r="A24" s="38">
        <v>23</v>
      </c>
      <c r="B24" s="38">
        <v>19</v>
      </c>
      <c r="C24" s="38">
        <v>2013</v>
      </c>
      <c r="D24" s="38" t="s">
        <v>130</v>
      </c>
      <c r="E24" s="38" t="s">
        <v>131</v>
      </c>
      <c r="F24" s="38" t="s">
        <v>56</v>
      </c>
      <c r="G24" s="38" t="s">
        <v>57</v>
      </c>
      <c r="H24" s="38" t="s">
        <v>92</v>
      </c>
      <c r="I24" s="38" t="s">
        <v>58</v>
      </c>
      <c r="J24" s="38" t="s">
        <v>72</v>
      </c>
      <c r="K24" s="38" t="s">
        <v>79</v>
      </c>
      <c r="L24" s="38" t="s">
        <v>59</v>
      </c>
      <c r="M24" s="38" t="s">
        <v>70</v>
      </c>
      <c r="U24" s="38">
        <v>137377.68</v>
      </c>
      <c r="V24" s="38">
        <v>181850</v>
      </c>
      <c r="W24" s="38">
        <v>329.84</v>
      </c>
      <c r="AF24" s="38">
        <v>1268114</v>
      </c>
      <c r="AG24" s="38">
        <v>0</v>
      </c>
      <c r="AH24" s="38">
        <v>1933224</v>
      </c>
      <c r="AP24" s="38">
        <v>137377.68</v>
      </c>
      <c r="AQ24" s="38">
        <v>72219.45</v>
      </c>
      <c r="AR24" s="38">
        <v>389971.27</v>
      </c>
      <c r="AS24" s="38">
        <v>388939.7</v>
      </c>
      <c r="AT24" s="38">
        <v>1031.57</v>
      </c>
      <c r="BC24" s="38">
        <v>678093.16</v>
      </c>
      <c r="BD24" s="38">
        <v>21265.46</v>
      </c>
      <c r="BF24" s="38">
        <v>1161549</v>
      </c>
      <c r="BG24" s="39">
        <f t="shared" si="0"/>
        <v>0.0621751213250582</v>
      </c>
      <c r="BH24" s="39">
        <f t="shared" si="1"/>
        <v>0.335733808905178</v>
      </c>
    </row>
    <row r="25" spans="1:60">
      <c r="A25" s="38">
        <v>24</v>
      </c>
      <c r="B25" s="38">
        <v>19</v>
      </c>
      <c r="C25" s="38">
        <v>2014</v>
      </c>
      <c r="D25" s="38" t="s">
        <v>130</v>
      </c>
      <c r="E25" s="38" t="s">
        <v>131</v>
      </c>
      <c r="F25" s="38" t="s">
        <v>56</v>
      </c>
      <c r="G25" s="38" t="s">
        <v>57</v>
      </c>
      <c r="H25" s="38" t="s">
        <v>92</v>
      </c>
      <c r="I25" s="38" t="s">
        <v>58</v>
      </c>
      <c r="J25" s="38" t="s">
        <v>72</v>
      </c>
      <c r="K25" s="38" t="s">
        <v>79</v>
      </c>
      <c r="L25" s="38" t="s">
        <v>59</v>
      </c>
      <c r="M25" s="38" t="s">
        <v>70</v>
      </c>
      <c r="U25" s="38">
        <v>128122.86</v>
      </c>
      <c r="V25" s="38">
        <v>154204.89</v>
      </c>
      <c r="W25" s="38">
        <v>313.96</v>
      </c>
      <c r="AF25" s="38">
        <v>1204361</v>
      </c>
      <c r="AG25" s="38">
        <v>0</v>
      </c>
      <c r="AH25" s="38">
        <v>1868737</v>
      </c>
      <c r="AP25" s="38">
        <v>128122.86</v>
      </c>
      <c r="AQ25" s="38">
        <v>67354.19</v>
      </c>
      <c r="AR25" s="38">
        <v>341046.08</v>
      </c>
      <c r="AS25" s="38">
        <v>340064.17</v>
      </c>
      <c r="AT25" s="38">
        <v>981.91</v>
      </c>
      <c r="BC25" s="38">
        <v>645195.11</v>
      </c>
      <c r="BD25" s="38">
        <v>20556.11</v>
      </c>
      <c r="BF25" s="38">
        <v>1074151</v>
      </c>
      <c r="BG25" s="39">
        <f t="shared" si="0"/>
        <v>0.0627045825028325</v>
      </c>
      <c r="BH25" s="39">
        <f t="shared" si="1"/>
        <v>0.317502920911492</v>
      </c>
    </row>
    <row r="26" spans="1:60">
      <c r="A26" s="38">
        <v>25</v>
      </c>
      <c r="B26" s="38">
        <v>19</v>
      </c>
      <c r="C26" s="38">
        <v>2015</v>
      </c>
      <c r="D26" s="38" t="s">
        <v>130</v>
      </c>
      <c r="E26" s="38" t="s">
        <v>131</v>
      </c>
      <c r="F26" s="38" t="s">
        <v>56</v>
      </c>
      <c r="G26" s="38" t="s">
        <v>57</v>
      </c>
      <c r="H26" s="38">
        <v>1427842</v>
      </c>
      <c r="I26" s="38" t="s">
        <v>58</v>
      </c>
      <c r="J26" s="38" t="s">
        <v>72</v>
      </c>
      <c r="K26" s="38" t="s">
        <v>79</v>
      </c>
      <c r="L26" s="38" t="s">
        <v>59</v>
      </c>
      <c r="M26" s="38" t="s">
        <v>70</v>
      </c>
      <c r="U26" s="38">
        <v>111751.6</v>
      </c>
      <c r="V26" s="38">
        <v>147651</v>
      </c>
      <c r="W26" s="38">
        <v>269</v>
      </c>
      <c r="AF26" s="38">
        <v>1111423</v>
      </c>
      <c r="AG26" s="38">
        <v>0</v>
      </c>
      <c r="AH26" s="38">
        <v>1663677</v>
      </c>
      <c r="AP26" s="38">
        <v>111751.6</v>
      </c>
      <c r="AQ26" s="38">
        <v>58747.82</v>
      </c>
      <c r="AR26" s="38">
        <v>338466.53</v>
      </c>
      <c r="AS26" s="38">
        <v>337625.24</v>
      </c>
      <c r="AT26" s="38">
        <v>841.3</v>
      </c>
      <c r="BC26" s="38">
        <v>596140.31</v>
      </c>
      <c r="BD26" s="38">
        <v>18300.45</v>
      </c>
      <c r="BF26" s="38">
        <v>1011655</v>
      </c>
      <c r="BG26" s="39">
        <f t="shared" si="0"/>
        <v>0.0580710024662558</v>
      </c>
      <c r="BH26" s="39">
        <f t="shared" si="1"/>
        <v>0.334567149868285</v>
      </c>
    </row>
    <row r="27" spans="1:60">
      <c r="A27" s="38">
        <v>26</v>
      </c>
      <c r="B27" s="38">
        <v>20</v>
      </c>
      <c r="C27" s="38">
        <v>2016</v>
      </c>
      <c r="D27" s="38" t="s">
        <v>132</v>
      </c>
      <c r="E27" s="38" t="s">
        <v>133</v>
      </c>
      <c r="F27" s="38" t="s">
        <v>56</v>
      </c>
      <c r="G27" s="38" t="s">
        <v>57</v>
      </c>
      <c r="H27" s="38" t="s">
        <v>92</v>
      </c>
      <c r="I27" s="38" t="s">
        <v>58</v>
      </c>
      <c r="J27" s="38" t="s">
        <v>72</v>
      </c>
      <c r="K27" s="38" t="s">
        <v>79</v>
      </c>
      <c r="L27" s="38" t="s">
        <v>59</v>
      </c>
      <c r="M27" s="38" t="s">
        <v>70</v>
      </c>
      <c r="U27" s="38">
        <v>258</v>
      </c>
      <c r="V27" s="38">
        <v>108809</v>
      </c>
      <c r="AF27" s="38">
        <v>639464</v>
      </c>
      <c r="AG27" s="38">
        <v>0</v>
      </c>
      <c r="AP27" s="38">
        <v>258</v>
      </c>
      <c r="AQ27" s="38">
        <v>135.63</v>
      </c>
      <c r="AR27" s="38">
        <v>214015.12</v>
      </c>
      <c r="AS27" s="38">
        <v>214015.12</v>
      </c>
      <c r="BC27" s="38">
        <v>411537.29</v>
      </c>
      <c r="BF27" s="38">
        <v>625688.04</v>
      </c>
      <c r="BG27" s="39">
        <f t="shared" si="0"/>
        <v>0.000216769366408218</v>
      </c>
      <c r="BH27" s="39">
        <f t="shared" si="1"/>
        <v>0.342047644062367</v>
      </c>
    </row>
    <row r="28" ht="15.5" spans="1:60">
      <c r="A28" s="38">
        <v>27</v>
      </c>
      <c r="B28" s="38">
        <v>21</v>
      </c>
      <c r="C28" s="38">
        <v>2013</v>
      </c>
      <c r="D28" s="38" t="s">
        <v>134</v>
      </c>
      <c r="E28" s="38" t="s">
        <v>135</v>
      </c>
      <c r="F28" s="38" t="s">
        <v>56</v>
      </c>
      <c r="G28" s="38" t="s">
        <v>57</v>
      </c>
      <c r="H28" s="38">
        <v>1307937</v>
      </c>
      <c r="I28" s="38" t="s">
        <v>58</v>
      </c>
      <c r="U28" s="38">
        <v>107416.23</v>
      </c>
      <c r="V28" s="38">
        <v>147848.87</v>
      </c>
      <c r="W28" s="38">
        <v>161.81</v>
      </c>
      <c r="AF28" s="38">
        <v>998610</v>
      </c>
      <c r="AG28" s="38">
        <v>0</v>
      </c>
      <c r="AH28" s="38">
        <v>1507901.1</v>
      </c>
      <c r="AP28" s="38">
        <v>107416.23</v>
      </c>
      <c r="AQ28" s="38">
        <v>56468.7</v>
      </c>
      <c r="AR28" s="38">
        <v>325648.7</v>
      </c>
      <c r="AS28" s="38">
        <v>325142.6</v>
      </c>
      <c r="AT28" s="38">
        <v>506.1</v>
      </c>
      <c r="BC28" s="38">
        <v>530483</v>
      </c>
      <c r="BD28" s="38">
        <v>16586.9</v>
      </c>
      <c r="BF28" s="38">
        <v>929187.4</v>
      </c>
      <c r="BG28" s="39">
        <f t="shared" si="0"/>
        <v>0.0607721327258635</v>
      </c>
      <c r="BH28" s="39">
        <f t="shared" si="1"/>
        <v>0.350466116953372</v>
      </c>
    </row>
    <row r="29" ht="15.5" spans="1:60">
      <c r="A29" s="38">
        <v>28</v>
      </c>
      <c r="B29" s="38">
        <v>21</v>
      </c>
      <c r="C29" s="38">
        <v>2014</v>
      </c>
      <c r="D29" s="38" t="s">
        <v>134</v>
      </c>
      <c r="E29" s="38" t="s">
        <v>136</v>
      </c>
      <c r="F29" s="38" t="s">
        <v>56</v>
      </c>
      <c r="G29" s="38" t="s">
        <v>57</v>
      </c>
      <c r="H29" s="38">
        <v>1393959</v>
      </c>
      <c r="I29" s="38" t="s">
        <v>58</v>
      </c>
      <c r="U29" s="38">
        <v>114526.56</v>
      </c>
      <c r="V29" s="38">
        <v>147494.6</v>
      </c>
      <c r="W29" s="38">
        <v>160.74</v>
      </c>
      <c r="AF29" s="38">
        <v>1013016</v>
      </c>
      <c r="AG29" s="38">
        <v>0</v>
      </c>
      <c r="AH29" s="38">
        <v>1529654.16</v>
      </c>
      <c r="AP29" s="38">
        <v>114526.56</v>
      </c>
      <c r="AQ29" s="38">
        <v>60206.6</v>
      </c>
      <c r="AR29" s="38">
        <v>336452.2</v>
      </c>
      <c r="AS29" s="38">
        <v>335949.4</v>
      </c>
      <c r="AT29" s="38">
        <v>502.7</v>
      </c>
      <c r="BC29" s="38">
        <v>537992.5</v>
      </c>
      <c r="BD29" s="38">
        <v>16826.2</v>
      </c>
      <c r="BF29" s="38">
        <v>951477.5</v>
      </c>
      <c r="BG29" s="39">
        <f t="shared" si="0"/>
        <v>0.0632769561024827</v>
      </c>
      <c r="BH29" s="39">
        <f t="shared" si="1"/>
        <v>0.353610253526752</v>
      </c>
    </row>
    <row r="30" ht="15.5" spans="1:60">
      <c r="A30" s="38">
        <v>29</v>
      </c>
      <c r="B30" s="38">
        <v>21</v>
      </c>
      <c r="C30" s="38">
        <v>2015</v>
      </c>
      <c r="D30" s="38" t="s">
        <v>134</v>
      </c>
      <c r="E30" s="38" t="s">
        <v>137</v>
      </c>
      <c r="F30" s="38" t="s">
        <v>56</v>
      </c>
      <c r="G30" s="38" t="s">
        <v>57</v>
      </c>
      <c r="H30" s="38">
        <v>1336160</v>
      </c>
      <c r="I30" s="38" t="s">
        <v>58</v>
      </c>
      <c r="U30" s="38">
        <v>102778.64</v>
      </c>
      <c r="V30" s="38">
        <v>151666</v>
      </c>
      <c r="W30" s="38">
        <v>122.61</v>
      </c>
      <c r="AF30" s="38">
        <v>1044790</v>
      </c>
      <c r="AG30" s="38">
        <v>0</v>
      </c>
      <c r="AH30" s="38">
        <v>1577632.9</v>
      </c>
      <c r="AP30" s="38">
        <v>102778.64</v>
      </c>
      <c r="AQ30" s="38">
        <v>54030.7</v>
      </c>
      <c r="AR30" s="38">
        <v>329151</v>
      </c>
      <c r="AS30" s="38">
        <v>328767.5</v>
      </c>
      <c r="AT30" s="38">
        <v>383.5</v>
      </c>
      <c r="BC30" s="38">
        <v>554752.1</v>
      </c>
      <c r="BD30" s="38">
        <v>17354</v>
      </c>
      <c r="BF30" s="38">
        <v>955287.8</v>
      </c>
      <c r="BG30" s="39">
        <f t="shared" si="0"/>
        <v>0.0565596043412257</v>
      </c>
      <c r="BH30" s="39">
        <f t="shared" si="1"/>
        <v>0.344556896884897</v>
      </c>
    </row>
    <row r="31" spans="1:60">
      <c r="A31" s="38">
        <v>30</v>
      </c>
      <c r="B31" s="38">
        <v>22</v>
      </c>
      <c r="C31" s="38">
        <v>2016</v>
      </c>
      <c r="D31" s="38" t="s">
        <v>138</v>
      </c>
      <c r="E31" s="38" t="s">
        <v>139</v>
      </c>
      <c r="F31" s="38" t="s">
        <v>56</v>
      </c>
      <c r="G31" s="38" t="s">
        <v>57</v>
      </c>
      <c r="H31" s="38">
        <v>600163</v>
      </c>
      <c r="I31" s="38" t="s">
        <v>58</v>
      </c>
      <c r="J31" s="38" t="s">
        <v>70</v>
      </c>
      <c r="K31" s="38" t="s">
        <v>129</v>
      </c>
      <c r="L31" s="38" t="s">
        <v>140</v>
      </c>
      <c r="M31" s="38" t="s">
        <v>64</v>
      </c>
      <c r="N31" s="38" t="s">
        <v>59</v>
      </c>
      <c r="U31" s="38">
        <v>23075.61</v>
      </c>
      <c r="W31" s="38">
        <v>62.818</v>
      </c>
      <c r="AF31" s="38">
        <v>0</v>
      </c>
      <c r="AG31" s="38">
        <v>0</v>
      </c>
      <c r="AP31" s="38">
        <v>23075.61</v>
      </c>
      <c r="AQ31" s="38">
        <v>12130.85</v>
      </c>
      <c r="AR31" s="38">
        <v>196.46</v>
      </c>
      <c r="AT31" s="38">
        <v>196.46</v>
      </c>
      <c r="BF31" s="38">
        <v>12327.31</v>
      </c>
      <c r="BG31" s="39">
        <f t="shared" si="0"/>
        <v>0.984063027538044</v>
      </c>
      <c r="BH31" s="39">
        <f t="shared" si="1"/>
        <v>0.0159369724619564</v>
      </c>
    </row>
    <row r="32" spans="1:60">
      <c r="A32" s="38">
        <v>31</v>
      </c>
      <c r="B32" s="38">
        <v>23</v>
      </c>
      <c r="C32" s="38">
        <v>2016</v>
      </c>
      <c r="D32" s="38" t="s">
        <v>141</v>
      </c>
      <c r="E32" s="38" t="s">
        <v>142</v>
      </c>
      <c r="F32" s="38" t="s">
        <v>56</v>
      </c>
      <c r="G32" s="38" t="s">
        <v>57</v>
      </c>
      <c r="H32" s="38">
        <v>2406484</v>
      </c>
      <c r="I32" s="38" t="s">
        <v>58</v>
      </c>
      <c r="J32" s="38" t="s">
        <v>70</v>
      </c>
      <c r="K32" s="38" t="s">
        <v>129</v>
      </c>
      <c r="L32" s="38" t="s">
        <v>140</v>
      </c>
      <c r="M32" s="38" t="s">
        <v>64</v>
      </c>
      <c r="N32" s="38" t="s">
        <v>118</v>
      </c>
      <c r="O32" s="38" t="s">
        <v>59</v>
      </c>
      <c r="U32" s="38">
        <v>136691.518</v>
      </c>
      <c r="V32" s="38">
        <v>225975</v>
      </c>
      <c r="W32" s="38">
        <v>103.68</v>
      </c>
      <c r="AF32" s="38">
        <v>1850500</v>
      </c>
      <c r="AG32" s="38">
        <v>0</v>
      </c>
      <c r="AH32" s="38">
        <v>2812263</v>
      </c>
      <c r="AP32" s="38">
        <v>136691.518</v>
      </c>
      <c r="AQ32" s="38">
        <v>71858.73</v>
      </c>
      <c r="AR32" s="38">
        <v>415071.29</v>
      </c>
      <c r="AS32" s="38">
        <v>414747.03</v>
      </c>
      <c r="AT32" s="38">
        <v>324.26</v>
      </c>
      <c r="BC32" s="38">
        <v>976377.73</v>
      </c>
      <c r="BD32" s="38">
        <v>10311.631</v>
      </c>
      <c r="BF32" s="38">
        <v>1473619.38</v>
      </c>
      <c r="BG32" s="39">
        <f t="shared" si="0"/>
        <v>0.0487634262790436</v>
      </c>
      <c r="BH32" s="39">
        <f t="shared" si="1"/>
        <v>0.281667909389194</v>
      </c>
    </row>
    <row r="33" spans="1:60">
      <c r="A33" s="38">
        <v>32</v>
      </c>
      <c r="B33" s="38">
        <v>24</v>
      </c>
      <c r="C33" s="38">
        <v>2016</v>
      </c>
      <c r="D33" s="38" t="s">
        <v>143</v>
      </c>
      <c r="E33" s="38" t="s">
        <v>144</v>
      </c>
      <c r="F33" s="38" t="s">
        <v>56</v>
      </c>
      <c r="G33" s="38" t="s">
        <v>57</v>
      </c>
      <c r="H33" s="38" t="s">
        <v>92</v>
      </c>
      <c r="I33" s="38" t="s">
        <v>58</v>
      </c>
      <c r="J33" s="38" t="s">
        <v>70</v>
      </c>
      <c r="K33" s="38" t="s">
        <v>72</v>
      </c>
      <c r="L33" s="38" t="s">
        <v>145</v>
      </c>
      <c r="M33" s="38" t="s">
        <v>64</v>
      </c>
      <c r="N33" s="38" t="s">
        <v>118</v>
      </c>
      <c r="O33" s="38" t="s">
        <v>59</v>
      </c>
      <c r="U33" s="38">
        <v>284431.5569</v>
      </c>
      <c r="V33" s="38">
        <v>539422.26</v>
      </c>
      <c r="W33" s="38">
        <v>410.949</v>
      </c>
      <c r="AF33" s="38">
        <v>3812199.33</v>
      </c>
      <c r="AG33" s="38">
        <v>0</v>
      </c>
      <c r="AH33" s="38">
        <v>5799988</v>
      </c>
      <c r="AP33" s="38">
        <v>284431.5569</v>
      </c>
      <c r="AQ33" s="38">
        <v>149525.67</v>
      </c>
      <c r="AR33" s="38">
        <v>991336.55</v>
      </c>
      <c r="AS33" s="38">
        <v>990051.3114</v>
      </c>
      <c r="AT33" s="38">
        <v>1285.24</v>
      </c>
      <c r="BC33" s="38">
        <v>1936401.2</v>
      </c>
      <c r="BD33" s="38">
        <v>21266.62</v>
      </c>
      <c r="BF33" s="38">
        <v>3098530.04</v>
      </c>
      <c r="BG33" s="39">
        <f t="shared" si="0"/>
        <v>0.0482569696177611</v>
      </c>
      <c r="BH33" s="39">
        <f t="shared" si="1"/>
        <v>0.319937692132234</v>
      </c>
    </row>
    <row r="34" ht="15.5" spans="1:60">
      <c r="A34" s="38">
        <v>33</v>
      </c>
      <c r="B34" s="38">
        <v>25</v>
      </c>
      <c r="C34" s="38">
        <v>2013</v>
      </c>
      <c r="D34" s="38" t="s">
        <v>146</v>
      </c>
      <c r="E34" s="38" t="s">
        <v>147</v>
      </c>
      <c r="F34" s="38" t="s">
        <v>56</v>
      </c>
      <c r="G34" s="38" t="s">
        <v>57</v>
      </c>
      <c r="H34" s="38">
        <v>4759635</v>
      </c>
      <c r="I34" s="38" t="s">
        <v>58</v>
      </c>
      <c r="U34" s="38">
        <v>270801.31</v>
      </c>
      <c r="V34" s="38">
        <v>458393</v>
      </c>
      <c r="W34" s="38">
        <v>68.92</v>
      </c>
      <c r="AF34" s="38">
        <v>3489119</v>
      </c>
      <c r="AG34" s="38">
        <v>0</v>
      </c>
      <c r="AH34" s="38">
        <v>5214969</v>
      </c>
      <c r="AP34" s="38">
        <v>270801.31</v>
      </c>
      <c r="AQ34" s="38">
        <v>142360.2</v>
      </c>
      <c r="AR34" s="38">
        <v>1000272.3</v>
      </c>
      <c r="AS34" s="38">
        <v>1000056.7</v>
      </c>
      <c r="AT34" s="38">
        <v>215.6</v>
      </c>
      <c r="BC34" s="38">
        <v>1806122.5</v>
      </c>
      <c r="BD34" s="38">
        <v>38243.1</v>
      </c>
      <c r="BF34" s="38">
        <v>2986998</v>
      </c>
      <c r="BG34" s="39">
        <f t="shared" si="0"/>
        <v>0.0476599582590949</v>
      </c>
      <c r="BH34" s="39">
        <f t="shared" si="1"/>
        <v>0.334875450201172</v>
      </c>
    </row>
    <row r="35" ht="15.5" spans="1:60">
      <c r="A35" s="38">
        <v>34</v>
      </c>
      <c r="B35" s="38">
        <v>25</v>
      </c>
      <c r="C35" s="38">
        <v>2014</v>
      </c>
      <c r="D35" s="38" t="s">
        <v>146</v>
      </c>
      <c r="E35" s="38" t="s">
        <v>148</v>
      </c>
      <c r="F35" s="38" t="s">
        <v>56</v>
      </c>
      <c r="G35" s="38" t="s">
        <v>57</v>
      </c>
      <c r="H35" s="38">
        <v>4850913</v>
      </c>
      <c r="I35" s="38" t="s">
        <v>58</v>
      </c>
      <c r="U35" s="38">
        <v>275509.94</v>
      </c>
      <c r="V35" s="38">
        <v>496555</v>
      </c>
      <c r="W35" s="38">
        <v>84.36</v>
      </c>
      <c r="AF35" s="38">
        <v>3869694</v>
      </c>
      <c r="AG35" s="38">
        <v>0</v>
      </c>
      <c r="AH35" s="38">
        <v>5817533</v>
      </c>
      <c r="AP35" s="38">
        <v>275509.94</v>
      </c>
      <c r="AQ35" s="38">
        <v>144835.6</v>
      </c>
      <c r="AR35" s="38">
        <v>1106045.7</v>
      </c>
      <c r="AS35" s="38">
        <v>1105781.9</v>
      </c>
      <c r="AT35" s="38">
        <v>263.8</v>
      </c>
      <c r="BC35" s="38">
        <v>1982084.9</v>
      </c>
      <c r="BD35" s="38">
        <v>42661.9</v>
      </c>
      <c r="BF35" s="38">
        <v>3275628</v>
      </c>
      <c r="BG35" s="39">
        <f t="shared" si="0"/>
        <v>0.0442161319905679</v>
      </c>
      <c r="BH35" s="39">
        <f t="shared" si="1"/>
        <v>0.337659129791295</v>
      </c>
    </row>
    <row r="36" ht="15.5" spans="1:60">
      <c r="A36" s="38">
        <v>35</v>
      </c>
      <c r="B36" s="38">
        <v>25</v>
      </c>
      <c r="C36" s="38">
        <v>2015</v>
      </c>
      <c r="D36" s="38" t="s">
        <v>146</v>
      </c>
      <c r="E36" s="38" t="s">
        <v>149</v>
      </c>
      <c r="F36" s="38" t="s">
        <v>56</v>
      </c>
      <c r="G36" s="38" t="s">
        <v>57</v>
      </c>
      <c r="H36" s="38">
        <v>4866933</v>
      </c>
      <c r="I36" s="38" t="s">
        <v>58</v>
      </c>
      <c r="U36" s="38">
        <v>273434.1</v>
      </c>
      <c r="V36" s="38">
        <v>486928</v>
      </c>
      <c r="W36" s="38">
        <v>89.87</v>
      </c>
      <c r="AF36" s="38">
        <v>3743000</v>
      </c>
      <c r="AG36" s="38">
        <v>0</v>
      </c>
      <c r="AH36" s="38">
        <v>5601781</v>
      </c>
      <c r="AP36" s="38">
        <v>273434.1</v>
      </c>
      <c r="AQ36" s="38">
        <v>143744.3</v>
      </c>
      <c r="AR36" s="38">
        <v>1072714.7</v>
      </c>
      <c r="AS36" s="38">
        <v>1072433.6</v>
      </c>
      <c r="AT36" s="38">
        <v>281.1</v>
      </c>
      <c r="BC36" s="38">
        <v>1944012.6</v>
      </c>
      <c r="BD36" s="38">
        <v>41079.7</v>
      </c>
      <c r="BF36" s="38">
        <v>3201551</v>
      </c>
      <c r="BG36" s="39">
        <f t="shared" si="0"/>
        <v>0.0448983320896653</v>
      </c>
      <c r="BH36" s="39">
        <f t="shared" si="1"/>
        <v>0.335060943898754</v>
      </c>
    </row>
    <row r="37" spans="1:60">
      <c r="A37" s="38">
        <v>36</v>
      </c>
      <c r="B37" s="38">
        <v>26</v>
      </c>
      <c r="C37" s="38">
        <v>2016</v>
      </c>
      <c r="D37" s="38" t="s">
        <v>150</v>
      </c>
      <c r="E37" s="38" t="s">
        <v>151</v>
      </c>
      <c r="F37" s="38" t="s">
        <v>56</v>
      </c>
      <c r="G37" s="38" t="s">
        <v>57</v>
      </c>
      <c r="H37" s="38">
        <v>3058772</v>
      </c>
      <c r="I37" s="38" t="s">
        <v>58</v>
      </c>
      <c r="J37" s="38" t="s">
        <v>126</v>
      </c>
      <c r="K37" s="38" t="s">
        <v>72</v>
      </c>
      <c r="L37" s="38" t="s">
        <v>70</v>
      </c>
      <c r="M37" s="38" t="s">
        <v>59</v>
      </c>
      <c r="N37" s="38" t="s">
        <v>129</v>
      </c>
      <c r="O37" s="38" t="s">
        <v>64</v>
      </c>
      <c r="U37" s="38">
        <v>213594.447</v>
      </c>
      <c r="V37" s="38">
        <v>326721</v>
      </c>
      <c r="W37" s="38">
        <v>48.13</v>
      </c>
      <c r="AF37" s="38">
        <v>2594724</v>
      </c>
      <c r="AG37" s="38">
        <v>0</v>
      </c>
      <c r="AH37" s="38">
        <v>3949068</v>
      </c>
      <c r="AP37" s="38">
        <v>213594.447</v>
      </c>
      <c r="AQ37" s="38">
        <v>112286.6</v>
      </c>
      <c r="AR37" s="38">
        <v>599811.65</v>
      </c>
      <c r="AS37" s="38">
        <v>599661.12</v>
      </c>
      <c r="AT37" s="38">
        <v>150.53</v>
      </c>
      <c r="BC37" s="38">
        <v>1342654.761</v>
      </c>
      <c r="BD37" s="38">
        <v>14479.92</v>
      </c>
      <c r="BF37" s="38">
        <v>2069232.93</v>
      </c>
      <c r="BG37" s="39">
        <f t="shared" si="0"/>
        <v>0.0542648429628461</v>
      </c>
      <c r="BH37" s="39">
        <f t="shared" si="1"/>
        <v>0.289871498420432</v>
      </c>
    </row>
    <row r="38" spans="1:60">
      <c r="A38" s="38">
        <v>37</v>
      </c>
      <c r="B38" s="38">
        <v>27</v>
      </c>
      <c r="C38" s="38">
        <v>2013</v>
      </c>
      <c r="D38" s="38" t="s">
        <v>152</v>
      </c>
      <c r="F38" s="38" t="s">
        <v>56</v>
      </c>
      <c r="G38" s="38" t="s">
        <v>57</v>
      </c>
      <c r="H38" s="38">
        <v>1866491.76</v>
      </c>
      <c r="I38" s="38" t="s">
        <v>58</v>
      </c>
      <c r="J38" s="38" t="s">
        <v>126</v>
      </c>
      <c r="K38" s="38" t="s">
        <v>72</v>
      </c>
      <c r="L38" s="38" t="s">
        <v>70</v>
      </c>
      <c r="M38" s="38" t="s">
        <v>59</v>
      </c>
      <c r="N38" s="38" t="s">
        <v>153</v>
      </c>
      <c r="O38" s="38" t="s">
        <v>64</v>
      </c>
      <c r="U38" s="38">
        <v>71483.94</v>
      </c>
      <c r="V38" s="38">
        <v>3931.7</v>
      </c>
      <c r="AF38" s="38">
        <v>0</v>
      </c>
      <c r="AG38" s="38">
        <v>0</v>
      </c>
      <c r="AH38" s="38">
        <v>0</v>
      </c>
      <c r="AP38" s="38">
        <v>71483.94</v>
      </c>
      <c r="AQ38" s="38">
        <v>37579.1</v>
      </c>
      <c r="AR38" s="38">
        <v>6721.3</v>
      </c>
      <c r="AS38" s="38">
        <v>6721.3</v>
      </c>
      <c r="BC38" s="38">
        <v>0</v>
      </c>
      <c r="BD38" s="38">
        <v>0</v>
      </c>
      <c r="BF38" s="38">
        <v>44300</v>
      </c>
      <c r="BG38" s="39">
        <f t="shared" si="0"/>
        <v>0.848286681715576</v>
      </c>
      <c r="BH38" s="39">
        <f t="shared" si="1"/>
        <v>0.151722347629797</v>
      </c>
    </row>
    <row r="39" spans="1:60">
      <c r="A39" s="38">
        <v>38</v>
      </c>
      <c r="B39" s="38">
        <v>27</v>
      </c>
      <c r="C39" s="38">
        <v>2014</v>
      </c>
      <c r="D39" s="38" t="s">
        <v>152</v>
      </c>
      <c r="F39" s="38" t="s">
        <v>56</v>
      </c>
      <c r="G39" s="38" t="s">
        <v>57</v>
      </c>
      <c r="H39" s="38">
        <v>2299507.01</v>
      </c>
      <c r="I39" s="38" t="s">
        <v>58</v>
      </c>
      <c r="J39" s="38" t="s">
        <v>126</v>
      </c>
      <c r="K39" s="38" t="s">
        <v>72</v>
      </c>
      <c r="L39" s="38" t="s">
        <v>70</v>
      </c>
      <c r="M39" s="38" t="s">
        <v>59</v>
      </c>
      <c r="N39" s="38" t="s">
        <v>153</v>
      </c>
      <c r="O39" s="38" t="s">
        <v>64</v>
      </c>
      <c r="U39" s="38">
        <v>83697.5</v>
      </c>
      <c r="V39" s="38">
        <v>3765.88</v>
      </c>
      <c r="AF39" s="38">
        <v>0</v>
      </c>
      <c r="AG39" s="38">
        <v>0</v>
      </c>
      <c r="AH39" s="38">
        <v>0</v>
      </c>
      <c r="AP39" s="38">
        <v>83697.5</v>
      </c>
      <c r="AQ39" s="38">
        <v>43999.8</v>
      </c>
      <c r="AR39" s="38">
        <v>6437.8</v>
      </c>
      <c r="AS39" s="38">
        <v>6437.8</v>
      </c>
      <c r="BC39" s="38">
        <v>0</v>
      </c>
      <c r="BD39" s="38">
        <v>0</v>
      </c>
      <c r="BF39" s="38">
        <v>50438</v>
      </c>
      <c r="BG39" s="39">
        <f t="shared" si="0"/>
        <v>0.872354177405924</v>
      </c>
      <c r="BH39" s="39">
        <f t="shared" si="1"/>
        <v>0.127637892065506</v>
      </c>
    </row>
    <row r="40" spans="1:60">
      <c r="A40" s="38">
        <v>39</v>
      </c>
      <c r="B40" s="38">
        <v>27</v>
      </c>
      <c r="C40" s="38">
        <v>2015</v>
      </c>
      <c r="D40" s="38" t="s">
        <v>152</v>
      </c>
      <c r="F40" s="38" t="s">
        <v>56</v>
      </c>
      <c r="G40" s="38" t="s">
        <v>57</v>
      </c>
      <c r="H40" s="38">
        <v>1978995.891</v>
      </c>
      <c r="I40" s="38" t="s">
        <v>58</v>
      </c>
      <c r="J40" s="38" t="s">
        <v>126</v>
      </c>
      <c r="K40" s="38" t="s">
        <v>72</v>
      </c>
      <c r="L40" s="38" t="s">
        <v>70</v>
      </c>
      <c r="M40" s="38" t="s">
        <v>59</v>
      </c>
      <c r="N40" s="38" t="s">
        <v>153</v>
      </c>
      <c r="O40" s="38" t="s">
        <v>64</v>
      </c>
      <c r="U40" s="38">
        <v>71019.53</v>
      </c>
      <c r="V40" s="38">
        <v>300</v>
      </c>
      <c r="AF40" s="38">
        <v>0</v>
      </c>
      <c r="AG40" s="38">
        <v>0</v>
      </c>
      <c r="AH40" s="38">
        <v>0</v>
      </c>
      <c r="AP40" s="38">
        <v>71019.53</v>
      </c>
      <c r="AQ40" s="38">
        <v>37335</v>
      </c>
      <c r="AR40" s="38">
        <v>512.9</v>
      </c>
      <c r="AS40" s="38">
        <v>512.9</v>
      </c>
      <c r="BC40" s="38">
        <v>0</v>
      </c>
      <c r="BD40" s="38">
        <v>0</v>
      </c>
      <c r="BF40" s="38">
        <v>37848</v>
      </c>
      <c r="BG40" s="39">
        <f t="shared" si="0"/>
        <v>0.98644578313253</v>
      </c>
      <c r="BH40" s="39">
        <f t="shared" si="1"/>
        <v>0.0135515747199324</v>
      </c>
    </row>
    <row r="41" ht="15.5" spans="1:60">
      <c r="A41" s="38">
        <v>40</v>
      </c>
      <c r="B41" s="38">
        <v>28</v>
      </c>
      <c r="C41" s="38">
        <v>2013</v>
      </c>
      <c r="D41" s="38" t="s">
        <v>154</v>
      </c>
      <c r="E41" s="38" t="s">
        <v>155</v>
      </c>
      <c r="F41" s="38" t="s">
        <v>56</v>
      </c>
      <c r="G41" s="38" t="s">
        <v>57</v>
      </c>
      <c r="H41" s="38">
        <v>2577021</v>
      </c>
      <c r="I41" s="38" t="s">
        <v>58</v>
      </c>
      <c r="U41" s="38">
        <v>191756.4</v>
      </c>
      <c r="V41" s="38">
        <v>322719.15</v>
      </c>
      <c r="W41" s="38">
        <v>783.541</v>
      </c>
      <c r="AF41" s="38">
        <v>2222368</v>
      </c>
      <c r="AG41" s="38">
        <v>0</v>
      </c>
      <c r="AH41" s="38">
        <v>3365272</v>
      </c>
      <c r="AP41" s="38">
        <v>191756.4</v>
      </c>
      <c r="AQ41" s="38">
        <v>100806.3</v>
      </c>
      <c r="AR41" s="38">
        <v>695282.9</v>
      </c>
      <c r="AS41" s="38">
        <v>692857.1</v>
      </c>
      <c r="AT41" s="38">
        <v>2425.8</v>
      </c>
      <c r="BC41" s="38">
        <v>1139889.8</v>
      </c>
      <c r="BD41" s="38">
        <v>24678.7</v>
      </c>
      <c r="BF41" s="38">
        <v>1960658</v>
      </c>
      <c r="BG41" s="39">
        <f t="shared" si="0"/>
        <v>0.0514145251237085</v>
      </c>
      <c r="BH41" s="39">
        <f t="shared" si="1"/>
        <v>0.354617123435092</v>
      </c>
    </row>
    <row r="42" ht="15.5" spans="1:60">
      <c r="A42" s="38">
        <v>41</v>
      </c>
      <c r="B42" s="38">
        <v>28</v>
      </c>
      <c r="C42" s="38">
        <v>2014</v>
      </c>
      <c r="D42" s="38" t="s">
        <v>154</v>
      </c>
      <c r="E42" s="38" t="s">
        <v>156</v>
      </c>
      <c r="F42" s="38" t="s">
        <v>56</v>
      </c>
      <c r="G42" s="38" t="s">
        <v>57</v>
      </c>
      <c r="H42" s="38">
        <v>2578550.85</v>
      </c>
      <c r="I42" s="38" t="s">
        <v>58</v>
      </c>
      <c r="U42" s="38">
        <v>189752.64</v>
      </c>
      <c r="V42" s="38">
        <v>357260.08</v>
      </c>
      <c r="W42" s="38">
        <v>698.239</v>
      </c>
      <c r="AF42" s="38">
        <v>2432254.54</v>
      </c>
      <c r="AG42" s="38">
        <v>0</v>
      </c>
      <c r="AH42" s="38">
        <v>3683738.16</v>
      </c>
      <c r="AP42" s="38">
        <v>189752.64</v>
      </c>
      <c r="AQ42" s="38">
        <v>99753</v>
      </c>
      <c r="AR42" s="38">
        <v>756875.2</v>
      </c>
      <c r="AS42" s="38">
        <v>754713.5</v>
      </c>
      <c r="AT42" s="38">
        <v>2161.7</v>
      </c>
      <c r="BC42" s="38">
        <v>1255575.9</v>
      </c>
      <c r="BD42" s="38">
        <v>27014.1</v>
      </c>
      <c r="BF42" s="38">
        <v>2139218</v>
      </c>
      <c r="BG42" s="39">
        <f t="shared" si="0"/>
        <v>0.0466305911786457</v>
      </c>
      <c r="BH42" s="39">
        <f t="shared" si="1"/>
        <v>0.353809289188853</v>
      </c>
    </row>
    <row r="43" ht="15.5" spans="1:60">
      <c r="A43" s="38">
        <v>42</v>
      </c>
      <c r="B43" s="38">
        <v>28</v>
      </c>
      <c r="C43" s="38">
        <v>2015</v>
      </c>
      <c r="D43" s="38" t="s">
        <v>154</v>
      </c>
      <c r="E43" s="38" t="s">
        <v>157</v>
      </c>
      <c r="F43" s="38" t="s">
        <v>56</v>
      </c>
      <c r="G43" s="38" t="s">
        <v>57</v>
      </c>
      <c r="H43" s="38">
        <v>2537182.91</v>
      </c>
      <c r="I43" s="38" t="s">
        <v>58</v>
      </c>
      <c r="U43" s="38">
        <v>182616.496</v>
      </c>
      <c r="V43" s="38">
        <v>329341.74</v>
      </c>
      <c r="W43" s="38">
        <v>656.989</v>
      </c>
      <c r="AF43" s="38">
        <v>2178324.83</v>
      </c>
      <c r="AG43" s="38">
        <v>0</v>
      </c>
      <c r="AH43" s="38">
        <v>3234920.65</v>
      </c>
      <c r="AP43" s="38">
        <v>182616.496</v>
      </c>
      <c r="AQ43" s="38">
        <v>96001.5</v>
      </c>
      <c r="AR43" s="38">
        <v>704666.5</v>
      </c>
      <c r="AS43" s="38">
        <v>702632.5</v>
      </c>
      <c r="AT43" s="38">
        <v>2034</v>
      </c>
      <c r="BC43" s="38">
        <v>1089382.7</v>
      </c>
      <c r="BD43" s="38">
        <v>23722.8</v>
      </c>
      <c r="BF43" s="38">
        <v>1913773</v>
      </c>
      <c r="BG43" s="39">
        <f t="shared" si="0"/>
        <v>0.0501634728883729</v>
      </c>
      <c r="BH43" s="39">
        <f t="shared" si="1"/>
        <v>0.368207984959554</v>
      </c>
    </row>
    <row r="44" spans="1:60">
      <c r="A44" s="38">
        <v>43</v>
      </c>
      <c r="B44" s="38">
        <v>29</v>
      </c>
      <c r="C44" s="38">
        <v>2013</v>
      </c>
      <c r="D44" s="38" t="s">
        <v>158</v>
      </c>
      <c r="E44" s="38" t="s">
        <v>159</v>
      </c>
      <c r="F44" s="38" t="s">
        <v>56</v>
      </c>
      <c r="G44" s="38" t="s">
        <v>57</v>
      </c>
      <c r="H44" s="38">
        <v>436880</v>
      </c>
      <c r="I44" s="38" t="s">
        <v>58</v>
      </c>
      <c r="U44" s="38">
        <v>75829.133</v>
      </c>
      <c r="V44" s="38">
        <v>239250.9</v>
      </c>
      <c r="W44" s="38">
        <v>106.4</v>
      </c>
      <c r="AF44" s="38">
        <v>1893059</v>
      </c>
      <c r="AG44" s="38">
        <v>0</v>
      </c>
      <c r="AH44" s="38">
        <v>2539180.77</v>
      </c>
      <c r="AP44" s="38">
        <v>75829.133</v>
      </c>
      <c r="AQ44" s="38">
        <v>39863.4</v>
      </c>
      <c r="AR44" s="38">
        <v>532807.2</v>
      </c>
      <c r="AS44" s="38">
        <v>532474.4</v>
      </c>
      <c r="AT44" s="38">
        <v>332.8</v>
      </c>
      <c r="BC44" s="38">
        <v>990105</v>
      </c>
      <c r="BD44" s="38">
        <v>18620.7</v>
      </c>
      <c r="BF44" s="38">
        <v>1581396</v>
      </c>
      <c r="BG44" s="39">
        <f t="shared" si="0"/>
        <v>0.0252077278556415</v>
      </c>
      <c r="BH44" s="39">
        <f t="shared" si="1"/>
        <v>0.336922061267386</v>
      </c>
    </row>
    <row r="45" spans="1:60">
      <c r="A45" s="38">
        <v>44</v>
      </c>
      <c r="B45" s="38">
        <v>29</v>
      </c>
      <c r="C45" s="38">
        <v>2014</v>
      </c>
      <c r="D45" s="38" t="s">
        <v>158</v>
      </c>
      <c r="E45" s="38" t="s">
        <v>159</v>
      </c>
      <c r="F45" s="38" t="s">
        <v>56</v>
      </c>
      <c r="G45" s="38" t="s">
        <v>57</v>
      </c>
      <c r="H45" s="38">
        <v>618933</v>
      </c>
      <c r="I45" s="38" t="s">
        <v>58</v>
      </c>
      <c r="U45" s="38">
        <v>85523.258</v>
      </c>
      <c r="V45" s="38">
        <v>263899</v>
      </c>
      <c r="W45" s="38">
        <v>99.1066</v>
      </c>
      <c r="AF45" s="38">
        <v>1976735</v>
      </c>
      <c r="AG45" s="38">
        <v>0</v>
      </c>
      <c r="AH45" s="38">
        <v>2881440.5</v>
      </c>
      <c r="AP45" s="38">
        <v>85523.258</v>
      </c>
      <c r="AQ45" s="38">
        <v>44959.6</v>
      </c>
      <c r="AR45" s="38">
        <v>580292.5</v>
      </c>
      <c r="AS45" s="38">
        <v>579982.5</v>
      </c>
      <c r="AT45" s="38">
        <v>310</v>
      </c>
      <c r="BC45" s="38">
        <v>1011777.1</v>
      </c>
      <c r="BD45" s="38">
        <v>21130.6</v>
      </c>
      <c r="BF45" s="38">
        <v>1658160</v>
      </c>
      <c r="BG45" s="39">
        <f t="shared" si="0"/>
        <v>0.0271141506247889</v>
      </c>
      <c r="BH45" s="39">
        <f t="shared" si="1"/>
        <v>0.349961704539972</v>
      </c>
    </row>
    <row r="46" spans="1:60">
      <c r="A46" s="38">
        <v>45</v>
      </c>
      <c r="B46" s="38">
        <v>29</v>
      </c>
      <c r="C46" s="38">
        <v>2015</v>
      </c>
      <c r="D46" s="38" t="s">
        <v>158</v>
      </c>
      <c r="E46" s="38" t="s">
        <v>159</v>
      </c>
      <c r="F46" s="38" t="s">
        <v>56</v>
      </c>
      <c r="G46" s="38" t="s">
        <v>57</v>
      </c>
      <c r="H46" s="38">
        <v>784662</v>
      </c>
      <c r="I46" s="38" t="s">
        <v>58</v>
      </c>
      <c r="U46" s="38">
        <v>83593.033</v>
      </c>
      <c r="V46" s="38">
        <v>259457</v>
      </c>
      <c r="W46" s="38">
        <v>136.7956</v>
      </c>
      <c r="AF46" s="38">
        <v>1996325</v>
      </c>
      <c r="AG46" s="38">
        <v>0</v>
      </c>
      <c r="AH46" s="38">
        <v>2967331.7</v>
      </c>
      <c r="AP46" s="38">
        <v>83593.033</v>
      </c>
      <c r="AQ46" s="38">
        <v>43944.9</v>
      </c>
      <c r="AR46" s="38">
        <v>577482.2</v>
      </c>
      <c r="AS46" s="38">
        <v>577054.4</v>
      </c>
      <c r="AT46" s="38">
        <v>427.8</v>
      </c>
      <c r="BC46" s="38">
        <v>1024006.4</v>
      </c>
      <c r="BD46" s="38">
        <v>21760.4</v>
      </c>
      <c r="BF46" s="38">
        <v>1667194</v>
      </c>
      <c r="BG46" s="39">
        <f t="shared" si="0"/>
        <v>0.026358600138916</v>
      </c>
      <c r="BH46" s="39">
        <f t="shared" si="1"/>
        <v>0.346379725454866</v>
      </c>
    </row>
    <row r="47" spans="1:60">
      <c r="A47" s="38">
        <v>46</v>
      </c>
      <c r="B47" s="38">
        <v>30</v>
      </c>
      <c r="C47" s="38">
        <v>2013</v>
      </c>
      <c r="D47" s="38" t="s">
        <v>160</v>
      </c>
      <c r="E47" s="38" t="s">
        <v>161</v>
      </c>
      <c r="F47" s="38" t="s">
        <v>56</v>
      </c>
      <c r="G47" s="38" t="s">
        <v>57</v>
      </c>
      <c r="H47" s="38">
        <v>761024.33</v>
      </c>
      <c r="I47" s="38" t="s">
        <v>58</v>
      </c>
      <c r="U47" s="38">
        <v>143737.855</v>
      </c>
      <c r="V47" s="38">
        <v>359989.4</v>
      </c>
      <c r="W47" s="38">
        <v>149.678</v>
      </c>
      <c r="AF47" s="38">
        <v>2476646.94</v>
      </c>
      <c r="AG47" s="38">
        <v>0</v>
      </c>
      <c r="AH47" s="38">
        <v>3807115.66</v>
      </c>
      <c r="AP47" s="38">
        <v>143737.855</v>
      </c>
      <c r="AQ47" s="38">
        <v>75563</v>
      </c>
      <c r="AR47" s="38">
        <v>773035.9</v>
      </c>
      <c r="AS47" s="38">
        <v>772572.5</v>
      </c>
      <c r="AT47" s="38">
        <v>463.4</v>
      </c>
      <c r="BC47" s="38">
        <v>1319464.7</v>
      </c>
      <c r="BD47" s="38">
        <v>27918.8</v>
      </c>
      <c r="BF47" s="38">
        <v>2195982</v>
      </c>
      <c r="BG47" s="39">
        <f t="shared" si="0"/>
        <v>0.0344096627385835</v>
      </c>
      <c r="BH47" s="39">
        <f t="shared" si="1"/>
        <v>0.352022876325944</v>
      </c>
    </row>
    <row r="48" spans="1:60">
      <c r="A48" s="38">
        <v>47</v>
      </c>
      <c r="B48" s="38">
        <v>30</v>
      </c>
      <c r="C48" s="38">
        <v>2014</v>
      </c>
      <c r="D48" s="38" t="s">
        <v>160</v>
      </c>
      <c r="E48" s="38" t="s">
        <v>161</v>
      </c>
      <c r="F48" s="38" t="s">
        <v>56</v>
      </c>
      <c r="G48" s="38" t="s">
        <v>57</v>
      </c>
      <c r="H48" s="38">
        <v>871152.77</v>
      </c>
      <c r="I48" s="38" t="s">
        <v>58</v>
      </c>
      <c r="U48" s="38">
        <v>141059.585</v>
      </c>
      <c r="V48" s="38">
        <v>376820.11</v>
      </c>
      <c r="W48" s="38">
        <v>193.651</v>
      </c>
      <c r="AF48" s="38">
        <v>2669889.28</v>
      </c>
      <c r="AG48" s="38">
        <v>0</v>
      </c>
      <c r="AH48" s="38">
        <v>3822761.9</v>
      </c>
      <c r="AP48" s="38">
        <v>141059.585</v>
      </c>
      <c r="AQ48" s="38">
        <v>74155</v>
      </c>
      <c r="AR48" s="38">
        <v>815389.6</v>
      </c>
      <c r="AS48" s="38">
        <v>814790.1</v>
      </c>
      <c r="AT48" s="38">
        <v>599.5</v>
      </c>
      <c r="BC48" s="38">
        <v>1325488.1</v>
      </c>
      <c r="BD48" s="38">
        <v>28033.6</v>
      </c>
      <c r="BF48" s="38">
        <v>2243066</v>
      </c>
      <c r="BG48" s="39">
        <f t="shared" si="0"/>
        <v>0.0330596603042443</v>
      </c>
      <c r="BH48" s="39">
        <f t="shared" si="1"/>
        <v>0.363515652236715</v>
      </c>
    </row>
    <row r="49" spans="1:60">
      <c r="A49" s="38">
        <v>48</v>
      </c>
      <c r="B49" s="38">
        <v>30</v>
      </c>
      <c r="C49" s="38">
        <v>2015</v>
      </c>
      <c r="D49" s="38" t="s">
        <v>160</v>
      </c>
      <c r="E49" s="38" t="s">
        <v>161</v>
      </c>
      <c r="F49" s="38" t="s">
        <v>56</v>
      </c>
      <c r="G49" s="38" t="s">
        <v>57</v>
      </c>
      <c r="H49" s="38">
        <v>873453.52</v>
      </c>
      <c r="I49" s="38" t="s">
        <v>58</v>
      </c>
      <c r="U49" s="38">
        <v>127379.103</v>
      </c>
      <c r="V49" s="38">
        <v>342727.01</v>
      </c>
      <c r="W49" s="38">
        <v>134.32</v>
      </c>
      <c r="AF49" s="38">
        <v>2344589.58</v>
      </c>
      <c r="AG49" s="38">
        <v>0</v>
      </c>
      <c r="AH49" s="38">
        <v>3066135.19</v>
      </c>
      <c r="AP49" s="38">
        <v>127379.103</v>
      </c>
      <c r="AQ49" s="38">
        <v>66963.2</v>
      </c>
      <c r="AR49" s="38">
        <v>737295.7</v>
      </c>
      <c r="AS49" s="38">
        <v>736879.9</v>
      </c>
      <c r="AT49" s="38">
        <v>415.8</v>
      </c>
      <c r="BC49" s="38">
        <v>1047111.2</v>
      </c>
      <c r="BD49" s="38">
        <v>22485</v>
      </c>
      <c r="BF49" s="38">
        <v>1873855</v>
      </c>
      <c r="BG49" s="39">
        <f t="shared" si="0"/>
        <v>0.0357355291631423</v>
      </c>
      <c r="BH49" s="39">
        <f t="shared" si="1"/>
        <v>0.393464649079038</v>
      </c>
    </row>
    <row r="50" ht="15.5" spans="1:60">
      <c r="A50" s="38">
        <v>49</v>
      </c>
      <c r="B50" s="38">
        <v>31</v>
      </c>
      <c r="C50" s="38">
        <v>2013</v>
      </c>
      <c r="D50" s="38" t="s">
        <v>162</v>
      </c>
      <c r="E50" s="38" t="s">
        <v>163</v>
      </c>
      <c r="F50" s="38" t="s">
        <v>56</v>
      </c>
      <c r="G50" s="38" t="s">
        <v>57</v>
      </c>
      <c r="I50" s="38" t="s">
        <v>58</v>
      </c>
      <c r="U50" s="38">
        <v>145540.14</v>
      </c>
      <c r="V50" s="38">
        <v>282241.16</v>
      </c>
      <c r="W50" s="38">
        <v>812.16</v>
      </c>
      <c r="AF50" s="38">
        <v>1962854.48</v>
      </c>
      <c r="AG50" s="38">
        <v>0</v>
      </c>
      <c r="AH50" s="38">
        <v>3022795.9</v>
      </c>
      <c r="AP50" s="38">
        <v>145540.14</v>
      </c>
      <c r="AQ50" s="38">
        <v>76510.5</v>
      </c>
      <c r="AR50" s="38">
        <v>592485.7</v>
      </c>
      <c r="AS50" s="38">
        <v>589945.7</v>
      </c>
      <c r="AT50" s="38">
        <v>2540</v>
      </c>
      <c r="BC50" s="38">
        <v>1063592.3</v>
      </c>
      <c r="BD50" s="38">
        <v>33250.8</v>
      </c>
      <c r="BF50" s="38">
        <v>1765839.2</v>
      </c>
      <c r="BG50" s="39">
        <f t="shared" si="0"/>
        <v>0.043328124100994</v>
      </c>
      <c r="BH50" s="39">
        <f t="shared" si="1"/>
        <v>0.335526417127902</v>
      </c>
    </row>
    <row r="51" ht="15.5" spans="1:60">
      <c r="A51" s="38">
        <v>50</v>
      </c>
      <c r="B51" s="38">
        <v>31</v>
      </c>
      <c r="C51" s="38">
        <v>2014</v>
      </c>
      <c r="D51" s="38" t="s">
        <v>162</v>
      </c>
      <c r="E51" s="38" t="s">
        <v>164</v>
      </c>
      <c r="F51" s="38" t="s">
        <v>56</v>
      </c>
      <c r="G51" s="38" t="s">
        <v>57</v>
      </c>
      <c r="H51" s="38">
        <v>2452480.2</v>
      </c>
      <c r="I51" s="38" t="s">
        <v>58</v>
      </c>
      <c r="U51" s="38">
        <v>149647.08</v>
      </c>
      <c r="V51" s="38">
        <v>272997.64</v>
      </c>
      <c r="W51" s="38">
        <v>859</v>
      </c>
      <c r="AF51" s="38">
        <v>1997410.8</v>
      </c>
      <c r="AG51" s="38">
        <v>0</v>
      </c>
      <c r="AH51" s="38">
        <v>3076012.63</v>
      </c>
      <c r="AP51" s="38">
        <v>149647.08</v>
      </c>
      <c r="AQ51" s="38">
        <v>78669.5</v>
      </c>
      <c r="AR51" s="38">
        <v>579449.2</v>
      </c>
      <c r="AS51" s="38">
        <v>576762.6</v>
      </c>
      <c r="AT51" s="38">
        <v>2686.5</v>
      </c>
      <c r="BC51" s="38">
        <v>1080371</v>
      </c>
      <c r="BD51" s="38">
        <v>33836.1</v>
      </c>
      <c r="BF51" s="38">
        <v>1772325.7</v>
      </c>
      <c r="BG51" s="39">
        <f t="shared" si="0"/>
        <v>0.0443877217376016</v>
      </c>
      <c r="BH51" s="39">
        <f t="shared" si="1"/>
        <v>0.32694284126219</v>
      </c>
    </row>
    <row r="52" ht="15.5" spans="1:60">
      <c r="A52" s="38">
        <v>51</v>
      </c>
      <c r="B52" s="38">
        <v>31</v>
      </c>
      <c r="C52" s="38">
        <v>2015</v>
      </c>
      <c r="D52" s="38" t="s">
        <v>162</v>
      </c>
      <c r="E52" s="38" t="s">
        <v>165</v>
      </c>
      <c r="F52" s="38" t="s">
        <v>56</v>
      </c>
      <c r="G52" s="38" t="s">
        <v>57</v>
      </c>
      <c r="H52" s="38">
        <v>2526335.6</v>
      </c>
      <c r="I52" s="38" t="s">
        <v>58</v>
      </c>
      <c r="U52" s="38">
        <v>143916.8</v>
      </c>
      <c r="V52" s="38">
        <v>269978.8</v>
      </c>
      <c r="W52" s="38">
        <v>788</v>
      </c>
      <c r="AF52" s="38">
        <v>2019716.83</v>
      </c>
      <c r="AG52" s="38">
        <v>0</v>
      </c>
      <c r="AH52" s="38">
        <v>3110363.92</v>
      </c>
      <c r="AP52" s="38">
        <v>143916.8</v>
      </c>
      <c r="AQ52" s="38">
        <v>75657.1</v>
      </c>
      <c r="AR52" s="38">
        <v>585309.9</v>
      </c>
      <c r="AS52" s="38">
        <v>582845.4</v>
      </c>
      <c r="AT52" s="38">
        <v>2464.5</v>
      </c>
      <c r="BC52" s="38">
        <v>1090436.5</v>
      </c>
      <c r="BD52" s="38">
        <v>34214</v>
      </c>
      <c r="BF52" s="38">
        <v>1785617.4</v>
      </c>
      <c r="BG52" s="39">
        <f t="shared" si="0"/>
        <v>0.0423702748416318</v>
      </c>
      <c r="BH52" s="39">
        <f t="shared" si="1"/>
        <v>0.327791328646327</v>
      </c>
    </row>
    <row r="53" ht="15" spans="1:60">
      <c r="A53" s="38">
        <v>52</v>
      </c>
      <c r="B53" s="38">
        <v>32</v>
      </c>
      <c r="C53" s="38">
        <v>2013</v>
      </c>
      <c r="D53" s="38" t="s">
        <v>166</v>
      </c>
      <c r="E53" s="38" t="s">
        <v>167</v>
      </c>
      <c r="F53" s="38" t="s">
        <v>56</v>
      </c>
      <c r="G53" s="38" t="s">
        <v>57</v>
      </c>
      <c r="H53" s="38">
        <v>4146285</v>
      </c>
      <c r="I53" s="38" t="s">
        <v>58</v>
      </c>
      <c r="U53" s="38">
        <v>191756.4</v>
      </c>
      <c r="V53" s="38">
        <v>520253</v>
      </c>
      <c r="W53" s="38">
        <v>2013.529</v>
      </c>
      <c r="AF53" s="38">
        <v>3809618.081</v>
      </c>
      <c r="AG53" s="38">
        <v>0</v>
      </c>
      <c r="AH53" s="38">
        <v>5880473</v>
      </c>
      <c r="AP53" s="38">
        <v>191756.4</v>
      </c>
      <c r="AQ53" s="38">
        <v>100806.3</v>
      </c>
      <c r="AR53" s="38">
        <v>1170111.7</v>
      </c>
      <c r="AS53" s="38">
        <v>1163878</v>
      </c>
      <c r="AT53" s="38">
        <v>6233.7</v>
      </c>
      <c r="BC53" s="38">
        <v>1932755.3</v>
      </c>
      <c r="BD53" s="38">
        <v>43123.5</v>
      </c>
      <c r="BF53" s="38">
        <v>3246797</v>
      </c>
      <c r="BG53" s="39">
        <f t="shared" si="0"/>
        <v>0.0310479219982032</v>
      </c>
      <c r="BH53" s="39">
        <f t="shared" si="1"/>
        <v>0.360389546990465</v>
      </c>
    </row>
    <row r="54" ht="15" spans="1:60">
      <c r="A54" s="38">
        <v>53</v>
      </c>
      <c r="B54" s="38">
        <v>32</v>
      </c>
      <c r="C54" s="38">
        <v>2014</v>
      </c>
      <c r="D54" s="38" t="s">
        <v>166</v>
      </c>
      <c r="E54" s="38" t="s">
        <v>168</v>
      </c>
      <c r="F54" s="38" t="s">
        <v>56</v>
      </c>
      <c r="G54" s="38" t="s">
        <v>57</v>
      </c>
      <c r="H54" s="38">
        <v>4085828</v>
      </c>
      <c r="I54" s="38" t="s">
        <v>58</v>
      </c>
      <c r="U54" s="38">
        <v>189752.64</v>
      </c>
      <c r="V54" s="38">
        <v>527512.85</v>
      </c>
      <c r="W54" s="38">
        <v>1636.05</v>
      </c>
      <c r="AF54" s="38">
        <v>3831385.025</v>
      </c>
      <c r="AG54" s="38">
        <v>0</v>
      </c>
      <c r="AH54" s="38">
        <v>5920656.59</v>
      </c>
      <c r="AP54" s="38">
        <v>189752.64</v>
      </c>
      <c r="AQ54" s="38">
        <v>99753</v>
      </c>
      <c r="AR54" s="38">
        <v>1172111.1</v>
      </c>
      <c r="AS54" s="38">
        <v>1167046</v>
      </c>
      <c r="AT54" s="38">
        <v>5065.1</v>
      </c>
      <c r="BC54" s="38">
        <v>1912942.1</v>
      </c>
      <c r="BD54" s="38">
        <v>43418.1</v>
      </c>
      <c r="BF54" s="38">
        <v>3228224</v>
      </c>
      <c r="BG54" s="39">
        <f t="shared" si="0"/>
        <v>0.0309002721000773</v>
      </c>
      <c r="BH54" s="39">
        <f t="shared" si="1"/>
        <v>0.363082332576674</v>
      </c>
    </row>
    <row r="55" ht="15" spans="1:60">
      <c r="A55" s="38">
        <v>54</v>
      </c>
      <c r="B55" s="38">
        <v>32</v>
      </c>
      <c r="C55" s="38">
        <v>2015</v>
      </c>
      <c r="D55" s="38" t="s">
        <v>166</v>
      </c>
      <c r="E55" s="38" t="s">
        <v>169</v>
      </c>
      <c r="F55" s="38" t="s">
        <v>56</v>
      </c>
      <c r="G55" s="38" t="s">
        <v>57</v>
      </c>
      <c r="H55" s="38">
        <v>3692220.78</v>
      </c>
      <c r="I55" s="38" t="s">
        <v>58</v>
      </c>
      <c r="U55" s="38">
        <v>182616.496</v>
      </c>
      <c r="V55" s="38">
        <v>399623.42</v>
      </c>
      <c r="W55" s="38">
        <v>1353.937</v>
      </c>
      <c r="AF55" s="38">
        <v>3211355.299</v>
      </c>
      <c r="AG55" s="38">
        <v>0</v>
      </c>
      <c r="AH55" s="38">
        <v>4944715.54</v>
      </c>
      <c r="AP55" s="38">
        <v>182616.496</v>
      </c>
      <c r="AQ55" s="38">
        <v>96001.5</v>
      </c>
      <c r="AR55" s="38">
        <v>893174.1</v>
      </c>
      <c r="AS55" s="38">
        <v>888982.4</v>
      </c>
      <c r="AT55" s="38">
        <v>4191.7</v>
      </c>
      <c r="BC55" s="38">
        <v>1654467.3</v>
      </c>
      <c r="BD55" s="38">
        <v>36261.2</v>
      </c>
      <c r="BF55" s="38">
        <v>2679904</v>
      </c>
      <c r="BG55" s="39">
        <f t="shared" si="0"/>
        <v>0.0358227384264511</v>
      </c>
      <c r="BH55" s="39">
        <f t="shared" si="1"/>
        <v>0.333285856508293</v>
      </c>
    </row>
    <row r="56" ht="15" spans="1:60">
      <c r="A56" s="38">
        <v>55</v>
      </c>
      <c r="B56" s="38">
        <v>33</v>
      </c>
      <c r="C56" s="38">
        <v>2013</v>
      </c>
      <c r="D56" s="38" t="s">
        <v>170</v>
      </c>
      <c r="E56" s="38" t="s">
        <v>171</v>
      </c>
      <c r="F56" s="38" t="s">
        <v>56</v>
      </c>
      <c r="G56" s="38" t="s">
        <v>57</v>
      </c>
      <c r="H56" s="38">
        <v>1280958.29</v>
      </c>
      <c r="I56" s="38" t="s">
        <v>58</v>
      </c>
      <c r="U56" s="38">
        <v>98333.095</v>
      </c>
      <c r="V56" s="38">
        <v>135754.12</v>
      </c>
      <c r="W56" s="38">
        <v>700.0321</v>
      </c>
      <c r="AF56" s="38">
        <v>836590.66</v>
      </c>
      <c r="AG56" s="38">
        <v>0</v>
      </c>
      <c r="AH56" s="38">
        <v>1519658.2</v>
      </c>
      <c r="AP56" s="38">
        <v>98333.095</v>
      </c>
      <c r="AQ56" s="38">
        <v>51693.7</v>
      </c>
      <c r="AR56" s="38">
        <v>322891.3</v>
      </c>
      <c r="AS56" s="38">
        <v>320701.9</v>
      </c>
      <c r="AT56" s="38">
        <v>2189.4</v>
      </c>
      <c r="BC56" s="38">
        <v>441233.5</v>
      </c>
      <c r="BD56" s="38">
        <v>11144.2</v>
      </c>
      <c r="BF56" s="38">
        <v>826963</v>
      </c>
      <c r="BG56" s="39">
        <f t="shared" si="0"/>
        <v>0.0625102936890768</v>
      </c>
      <c r="BH56" s="39">
        <f t="shared" si="1"/>
        <v>0.390454349227233</v>
      </c>
    </row>
    <row r="57" ht="15" spans="1:60">
      <c r="A57" s="38">
        <v>56</v>
      </c>
      <c r="B57" s="38">
        <v>33</v>
      </c>
      <c r="C57" s="38">
        <v>2014</v>
      </c>
      <c r="D57" s="38" t="s">
        <v>170</v>
      </c>
      <c r="E57" s="38" t="s">
        <v>171</v>
      </c>
      <c r="F57" s="38" t="s">
        <v>56</v>
      </c>
      <c r="G57" s="38" t="s">
        <v>57</v>
      </c>
      <c r="H57" s="38">
        <v>1342363.77</v>
      </c>
      <c r="I57" s="38" t="s">
        <v>58</v>
      </c>
      <c r="U57" s="38">
        <v>110420.64</v>
      </c>
      <c r="V57" s="38">
        <v>140234.13</v>
      </c>
      <c r="W57" s="38">
        <v>761.27</v>
      </c>
      <c r="AF57" s="38">
        <v>848400.77</v>
      </c>
      <c r="AG57" s="38">
        <v>0</v>
      </c>
      <c r="AH57" s="38">
        <v>1444428</v>
      </c>
      <c r="AP57" s="38">
        <v>110420.64</v>
      </c>
      <c r="AQ57" s="38">
        <v>58048.1</v>
      </c>
      <c r="AR57" s="38">
        <v>324128.2</v>
      </c>
      <c r="AS57" s="38">
        <v>321747.3</v>
      </c>
      <c r="AT57" s="38">
        <v>2380.9</v>
      </c>
      <c r="BC57" s="38">
        <v>442476.1</v>
      </c>
      <c r="BD57" s="38">
        <v>10592.5</v>
      </c>
      <c r="BF57" s="38">
        <v>835245</v>
      </c>
      <c r="BG57" s="39">
        <f t="shared" si="0"/>
        <v>0.0694982909206281</v>
      </c>
      <c r="BH57" s="39">
        <f t="shared" si="1"/>
        <v>0.388063622051015</v>
      </c>
    </row>
    <row r="58" ht="15" spans="1:60">
      <c r="A58" s="38">
        <v>57</v>
      </c>
      <c r="B58" s="38">
        <v>33</v>
      </c>
      <c r="C58" s="38">
        <v>2015</v>
      </c>
      <c r="D58" s="38" t="s">
        <v>170</v>
      </c>
      <c r="E58" s="38" t="s">
        <v>171</v>
      </c>
      <c r="F58" s="38" t="s">
        <v>56</v>
      </c>
      <c r="G58" s="38" t="s">
        <v>57</v>
      </c>
      <c r="H58" s="38">
        <v>1407354.23</v>
      </c>
      <c r="I58" s="38" t="s">
        <v>58</v>
      </c>
      <c r="U58" s="38">
        <v>110180.97</v>
      </c>
      <c r="V58" s="38">
        <v>139460.7</v>
      </c>
      <c r="W58" s="38">
        <v>662.6042</v>
      </c>
      <c r="AF58" s="38">
        <v>872644.35</v>
      </c>
      <c r="AG58" s="38">
        <v>0</v>
      </c>
      <c r="AH58" s="38">
        <v>1410170.7</v>
      </c>
      <c r="AP58" s="38">
        <v>110180.97</v>
      </c>
      <c r="AQ58" s="38">
        <v>57922.1</v>
      </c>
      <c r="AR58" s="38">
        <v>295989.6</v>
      </c>
      <c r="AS58" s="38">
        <v>293917.3</v>
      </c>
      <c r="AT58" s="38">
        <v>2072.3</v>
      </c>
      <c r="BC58" s="38">
        <v>459371.2</v>
      </c>
      <c r="BD58" s="38">
        <v>10341.3</v>
      </c>
      <c r="BF58" s="38">
        <v>823624</v>
      </c>
      <c r="BG58" s="39">
        <f t="shared" si="0"/>
        <v>0.0703259011393548</v>
      </c>
      <c r="BH58" s="39">
        <f t="shared" si="1"/>
        <v>0.359374666109778</v>
      </c>
    </row>
    <row r="59" spans="1:60">
      <c r="A59" s="38">
        <v>58</v>
      </c>
      <c r="B59" s="38">
        <v>34</v>
      </c>
      <c r="C59" s="38">
        <v>2016</v>
      </c>
      <c r="D59" s="38" t="s">
        <v>154</v>
      </c>
      <c r="E59" s="38" t="s">
        <v>172</v>
      </c>
      <c r="F59" s="38" t="s">
        <v>56</v>
      </c>
      <c r="G59" s="38" t="s">
        <v>57</v>
      </c>
      <c r="H59" s="38">
        <v>1778265.66</v>
      </c>
      <c r="I59" s="38" t="s">
        <v>58</v>
      </c>
      <c r="J59" s="38" t="s">
        <v>79</v>
      </c>
      <c r="K59" s="38" t="s">
        <v>72</v>
      </c>
      <c r="L59" s="38" t="s">
        <v>173</v>
      </c>
      <c r="M59" s="38" t="s">
        <v>59</v>
      </c>
      <c r="N59" s="38" t="s">
        <v>118</v>
      </c>
      <c r="O59" s="38" t="s">
        <v>70</v>
      </c>
      <c r="U59" s="38">
        <v>119141.904</v>
      </c>
      <c r="V59" s="38">
        <v>234965.7</v>
      </c>
      <c r="W59" s="38">
        <v>403.781</v>
      </c>
      <c r="AF59" s="38">
        <v>1661633.748</v>
      </c>
      <c r="AG59" s="38">
        <v>47.23</v>
      </c>
      <c r="AH59" s="38">
        <v>2566600.26</v>
      </c>
      <c r="AP59" s="38">
        <v>119141.904</v>
      </c>
      <c r="AQ59" s="38">
        <v>62632.9</v>
      </c>
      <c r="AR59" s="38">
        <v>433838.85</v>
      </c>
      <c r="AS59" s="38">
        <v>432576.02</v>
      </c>
      <c r="AT59" s="38">
        <v>1262.83</v>
      </c>
      <c r="BC59" s="38">
        <v>855459.48</v>
      </c>
      <c r="BD59" s="38">
        <v>9410.87</v>
      </c>
      <c r="BF59" s="38">
        <v>1361342</v>
      </c>
      <c r="BG59" s="39">
        <f t="shared" si="0"/>
        <v>0.0460082036696143</v>
      </c>
      <c r="BH59" s="39">
        <f t="shared" si="1"/>
        <v>0.318684687609726</v>
      </c>
    </row>
    <row r="60" spans="1:60">
      <c r="A60" s="38">
        <v>59</v>
      </c>
      <c r="B60" s="38">
        <v>35</v>
      </c>
      <c r="C60" s="38">
        <v>2016</v>
      </c>
      <c r="D60" s="38" t="s">
        <v>158</v>
      </c>
      <c r="E60" s="38" t="s">
        <v>174</v>
      </c>
      <c r="F60" s="38" t="s">
        <v>56</v>
      </c>
      <c r="G60" s="38" t="s">
        <v>57</v>
      </c>
      <c r="H60" s="38" t="s">
        <v>92</v>
      </c>
      <c r="I60" s="38" t="s">
        <v>58</v>
      </c>
      <c r="J60" s="38" t="s">
        <v>72</v>
      </c>
      <c r="K60" s="38" t="s">
        <v>129</v>
      </c>
      <c r="L60" s="38" t="s">
        <v>126</v>
      </c>
      <c r="M60" s="38" t="s">
        <v>59</v>
      </c>
      <c r="N60" s="38" t="s">
        <v>70</v>
      </c>
      <c r="O60" s="38" t="s">
        <v>64</v>
      </c>
      <c r="P60" s="38" t="s">
        <v>71</v>
      </c>
      <c r="U60" s="38">
        <v>78570.311</v>
      </c>
      <c r="V60" s="38">
        <v>267153</v>
      </c>
      <c r="W60" s="38">
        <v>419.56</v>
      </c>
      <c r="AF60" s="38">
        <v>1996946</v>
      </c>
      <c r="AG60" s="38">
        <v>0</v>
      </c>
      <c r="AH60" s="38">
        <v>2913286</v>
      </c>
      <c r="AP60" s="38">
        <v>78570.311</v>
      </c>
      <c r="AQ60" s="38">
        <v>41304.41</v>
      </c>
      <c r="AR60" s="38">
        <v>493145.59</v>
      </c>
      <c r="AS60" s="38">
        <v>491833.41</v>
      </c>
      <c r="AT60" s="38">
        <v>1312.18</v>
      </c>
      <c r="BC60" s="38">
        <v>1019147.1</v>
      </c>
      <c r="BD60" s="38">
        <v>10682.05</v>
      </c>
      <c r="BF60" s="38">
        <v>1564279</v>
      </c>
      <c r="BG60" s="39">
        <f t="shared" si="0"/>
        <v>0.0264047589975957</v>
      </c>
      <c r="BH60" s="39">
        <f t="shared" si="1"/>
        <v>0.315254241730535</v>
      </c>
    </row>
    <row r="61" spans="1:60">
      <c r="A61" s="38">
        <v>60</v>
      </c>
      <c r="B61" s="38">
        <v>36</v>
      </c>
      <c r="C61" s="38">
        <v>2016</v>
      </c>
      <c r="D61" s="38" t="s">
        <v>160</v>
      </c>
      <c r="E61" s="38" t="s">
        <v>175</v>
      </c>
      <c r="F61" s="38" t="s">
        <v>56</v>
      </c>
      <c r="G61" s="38" t="s">
        <v>57</v>
      </c>
      <c r="H61" s="38">
        <v>1049714.32</v>
      </c>
      <c r="I61" s="38" t="s">
        <v>58</v>
      </c>
      <c r="J61" s="38" t="s">
        <v>72</v>
      </c>
      <c r="K61" s="38" t="s">
        <v>71</v>
      </c>
      <c r="L61" s="38" t="s">
        <v>173</v>
      </c>
      <c r="M61" s="38" t="s">
        <v>59</v>
      </c>
      <c r="N61" s="38" t="s">
        <v>70</v>
      </c>
      <c r="O61" s="38" t="s">
        <v>118</v>
      </c>
      <c r="U61" s="38">
        <v>101146.47</v>
      </c>
      <c r="V61" s="38">
        <v>232905.84</v>
      </c>
      <c r="W61" s="38">
        <v>230.12</v>
      </c>
      <c r="AF61" s="38">
        <v>1740081.06</v>
      </c>
      <c r="AG61" s="38">
        <v>8.28</v>
      </c>
      <c r="AH61" s="38">
        <v>2647960.47</v>
      </c>
      <c r="AP61" s="38">
        <v>101146.47</v>
      </c>
      <c r="AQ61" s="38">
        <v>53172.7</v>
      </c>
      <c r="AR61" s="38">
        <v>429503.48</v>
      </c>
      <c r="AS61" s="38">
        <v>428783.78</v>
      </c>
      <c r="AT61" s="38">
        <v>719.7</v>
      </c>
      <c r="BC61" s="38">
        <v>896618.32</v>
      </c>
      <c r="BD61" s="38">
        <v>9709.19</v>
      </c>
      <c r="BF61" s="38">
        <v>1389004</v>
      </c>
      <c r="BG61" s="39">
        <f t="shared" si="0"/>
        <v>0.0382811712565263</v>
      </c>
      <c r="BH61" s="39">
        <f t="shared" si="1"/>
        <v>0.309216877705176</v>
      </c>
    </row>
    <row r="62" spans="1:60">
      <c r="A62" s="38">
        <v>61</v>
      </c>
      <c r="B62" s="38">
        <v>37</v>
      </c>
      <c r="C62" s="38">
        <v>2016</v>
      </c>
      <c r="D62" s="38" t="s">
        <v>162</v>
      </c>
      <c r="E62" s="38" t="s">
        <v>176</v>
      </c>
      <c r="F62" s="38" t="s">
        <v>56</v>
      </c>
      <c r="G62" s="38" t="s">
        <v>57</v>
      </c>
      <c r="H62" s="38">
        <v>2656193.3</v>
      </c>
      <c r="I62" s="38" t="s">
        <v>58</v>
      </c>
      <c r="J62" s="38" t="s">
        <v>72</v>
      </c>
      <c r="K62" s="38" t="s">
        <v>118</v>
      </c>
      <c r="L62" s="38" t="s">
        <v>71</v>
      </c>
      <c r="M62" s="38" t="s">
        <v>59</v>
      </c>
      <c r="N62" s="38" t="s">
        <v>70</v>
      </c>
      <c r="O62" s="38" t="s">
        <v>64</v>
      </c>
      <c r="U62" s="38">
        <v>124400.5</v>
      </c>
      <c r="V62" s="38">
        <v>267396.98</v>
      </c>
      <c r="W62" s="38">
        <v>193.99</v>
      </c>
      <c r="AF62" s="38">
        <v>1969146.15</v>
      </c>
      <c r="AG62" s="38">
        <v>0</v>
      </c>
      <c r="AH62" s="38">
        <v>3036998.6</v>
      </c>
      <c r="AP62" s="38">
        <v>124400.5</v>
      </c>
      <c r="AQ62" s="38">
        <v>65397.34</v>
      </c>
      <c r="AR62" s="38">
        <v>492889.29</v>
      </c>
      <c r="AS62" s="38">
        <v>492282.58</v>
      </c>
      <c r="AT62" s="38">
        <v>606.7</v>
      </c>
      <c r="BC62" s="38">
        <v>1046609.62</v>
      </c>
      <c r="BD62" s="38">
        <v>11135.66</v>
      </c>
      <c r="BF62" s="38">
        <v>1616032</v>
      </c>
      <c r="BG62" s="39">
        <f t="shared" si="0"/>
        <v>0.0404678496465417</v>
      </c>
      <c r="BH62" s="39">
        <f t="shared" si="1"/>
        <v>0.304999709164175</v>
      </c>
    </row>
    <row r="63" spans="1:60">
      <c r="A63" s="38">
        <v>62</v>
      </c>
      <c r="B63" s="38">
        <v>38</v>
      </c>
      <c r="C63" s="38">
        <v>2016</v>
      </c>
      <c r="D63" s="38" t="s">
        <v>177</v>
      </c>
      <c r="E63" s="38" t="s">
        <v>178</v>
      </c>
      <c r="F63" s="38" t="s">
        <v>56</v>
      </c>
      <c r="G63" s="38" t="s">
        <v>57</v>
      </c>
      <c r="H63" s="38">
        <v>3713528</v>
      </c>
      <c r="I63" s="38" t="s">
        <v>58</v>
      </c>
      <c r="J63" s="38" t="s">
        <v>72</v>
      </c>
      <c r="K63" s="38" t="s">
        <v>118</v>
      </c>
      <c r="L63" s="38" t="s">
        <v>71</v>
      </c>
      <c r="M63" s="38" t="s">
        <v>59</v>
      </c>
      <c r="N63" s="38" t="s">
        <v>70</v>
      </c>
      <c r="U63" s="38">
        <v>267433</v>
      </c>
      <c r="V63" s="38">
        <v>363003.63</v>
      </c>
      <c r="W63" s="38">
        <v>1377.185</v>
      </c>
      <c r="AF63" s="38">
        <v>3002658</v>
      </c>
      <c r="AG63" s="38">
        <v>64.83</v>
      </c>
      <c r="AH63" s="38">
        <v>4625925.97</v>
      </c>
      <c r="AP63" s="38">
        <v>267433</v>
      </c>
      <c r="AQ63" s="38">
        <v>140589.53</v>
      </c>
      <c r="AR63" s="38">
        <v>672603.27</v>
      </c>
      <c r="AS63" s="38">
        <v>668296.12</v>
      </c>
      <c r="AT63" s="38">
        <v>4307.15</v>
      </c>
      <c r="BC63" s="38">
        <v>1566856.89</v>
      </c>
      <c r="BD63" s="38">
        <v>16961.73</v>
      </c>
      <c r="BF63" s="38">
        <v>2397011</v>
      </c>
      <c r="BG63" s="39">
        <f t="shared" si="0"/>
        <v>0.0586520170328797</v>
      </c>
      <c r="BH63" s="39">
        <f t="shared" si="1"/>
        <v>0.280600827447183</v>
      </c>
    </row>
    <row r="64" spans="1:60">
      <c r="A64" s="38">
        <v>63</v>
      </c>
      <c r="B64" s="38">
        <v>39</v>
      </c>
      <c r="C64" s="38">
        <v>2016</v>
      </c>
      <c r="D64" s="38" t="s">
        <v>179</v>
      </c>
      <c r="E64" s="38" t="s">
        <v>180</v>
      </c>
      <c r="F64" s="38" t="s">
        <v>56</v>
      </c>
      <c r="G64" s="38" t="s">
        <v>57</v>
      </c>
      <c r="H64" s="38">
        <v>1290406.03</v>
      </c>
      <c r="I64" s="38" t="s">
        <v>58</v>
      </c>
      <c r="J64" s="38" t="s">
        <v>72</v>
      </c>
      <c r="K64" s="38" t="s">
        <v>118</v>
      </c>
      <c r="L64" s="38" t="s">
        <v>71</v>
      </c>
      <c r="M64" s="38" t="s">
        <v>59</v>
      </c>
      <c r="N64" s="38" t="s">
        <v>70</v>
      </c>
      <c r="O64" s="38" t="s">
        <v>173</v>
      </c>
      <c r="U64" s="38">
        <v>93692.48</v>
      </c>
      <c r="V64" s="38">
        <v>115573.4</v>
      </c>
      <c r="W64" s="38">
        <v>58.694</v>
      </c>
      <c r="AF64" s="38">
        <v>873197.93</v>
      </c>
      <c r="AG64" s="38">
        <v>0</v>
      </c>
      <c r="AH64" s="38">
        <v>1397116.75</v>
      </c>
      <c r="AP64" s="38">
        <v>93692.48</v>
      </c>
      <c r="AQ64" s="38">
        <v>49254.14</v>
      </c>
      <c r="AR64" s="38">
        <v>212956.25</v>
      </c>
      <c r="AS64" s="38">
        <v>212772.68</v>
      </c>
      <c r="AT64" s="38">
        <v>183.57</v>
      </c>
      <c r="BC64" s="38">
        <v>457247.62</v>
      </c>
      <c r="BD64" s="38">
        <v>5122.76</v>
      </c>
      <c r="BF64" s="38">
        <v>724581</v>
      </c>
      <c r="BG64" s="39">
        <f t="shared" si="0"/>
        <v>0.0679760302850889</v>
      </c>
      <c r="BH64" s="39">
        <f t="shared" si="1"/>
        <v>0.293902614062472</v>
      </c>
    </row>
    <row r="65" spans="1:60">
      <c r="A65" s="38">
        <v>64</v>
      </c>
      <c r="B65" s="38">
        <v>40</v>
      </c>
      <c r="C65" s="38">
        <v>2013</v>
      </c>
      <c r="D65" s="38" t="s">
        <v>181</v>
      </c>
      <c r="E65" s="38" t="s">
        <v>182</v>
      </c>
      <c r="F65" s="38" t="s">
        <v>56</v>
      </c>
      <c r="G65" s="38" t="s">
        <v>57</v>
      </c>
      <c r="H65" s="38">
        <v>744302</v>
      </c>
      <c r="I65" s="38" t="s">
        <v>58</v>
      </c>
      <c r="J65" s="38" t="s">
        <v>72</v>
      </c>
      <c r="K65" s="38" t="s">
        <v>118</v>
      </c>
      <c r="L65" s="38" t="s">
        <v>71</v>
      </c>
      <c r="M65" s="38" t="s">
        <v>59</v>
      </c>
      <c r="N65" s="38" t="s">
        <v>70</v>
      </c>
      <c r="O65" s="38" t="s">
        <v>173</v>
      </c>
      <c r="P65" s="38" t="s">
        <v>183</v>
      </c>
      <c r="U65" s="38">
        <v>51418.081</v>
      </c>
      <c r="V65" s="38">
        <v>76116.95</v>
      </c>
      <c r="W65" s="38">
        <v>98.25</v>
      </c>
      <c r="X65" s="38">
        <v>12.61</v>
      </c>
      <c r="AD65" s="38">
        <v>9.33</v>
      </c>
      <c r="AF65" s="38">
        <v>480688.84</v>
      </c>
      <c r="AG65" s="38">
        <v>0</v>
      </c>
      <c r="AH65" s="38">
        <v>743374</v>
      </c>
      <c r="AP65" s="38">
        <v>51418.081</v>
      </c>
      <c r="AQ65" s="38">
        <v>27030.49</v>
      </c>
      <c r="AR65" s="38">
        <v>140508.76</v>
      </c>
      <c r="AS65" s="38">
        <v>140132.66</v>
      </c>
      <c r="AT65" s="38">
        <v>307.26</v>
      </c>
      <c r="AU65" s="38">
        <v>37.26</v>
      </c>
      <c r="BA65" s="38">
        <v>31.58</v>
      </c>
      <c r="BC65" s="38">
        <v>254581.74</v>
      </c>
      <c r="BD65" s="38">
        <v>8177.11</v>
      </c>
      <c r="BF65" s="38">
        <v>430298.09</v>
      </c>
      <c r="BG65" s="39">
        <f t="shared" si="0"/>
        <v>0.0628180571287221</v>
      </c>
      <c r="BH65" s="39">
        <f t="shared" si="1"/>
        <v>0.326538191233896</v>
      </c>
    </row>
    <row r="66" spans="1:60">
      <c r="A66" s="38">
        <v>65</v>
      </c>
      <c r="B66" s="38">
        <v>40</v>
      </c>
      <c r="C66" s="38">
        <v>2014</v>
      </c>
      <c r="D66" s="38" t="s">
        <v>181</v>
      </c>
      <c r="E66" s="38" t="s">
        <v>182</v>
      </c>
      <c r="F66" s="38" t="s">
        <v>56</v>
      </c>
      <c r="G66" s="38" t="s">
        <v>57</v>
      </c>
      <c r="H66" s="38">
        <v>544555</v>
      </c>
      <c r="I66" s="38" t="s">
        <v>58</v>
      </c>
      <c r="J66" s="38" t="s">
        <v>72</v>
      </c>
      <c r="K66" s="38" t="s">
        <v>118</v>
      </c>
      <c r="L66" s="38" t="s">
        <v>71</v>
      </c>
      <c r="M66" s="38" t="s">
        <v>59</v>
      </c>
      <c r="N66" s="38" t="s">
        <v>70</v>
      </c>
      <c r="O66" s="38" t="s">
        <v>173</v>
      </c>
      <c r="P66" s="38" t="s">
        <v>183</v>
      </c>
      <c r="U66" s="38">
        <v>39834.256</v>
      </c>
      <c r="V66" s="38">
        <v>55642.39</v>
      </c>
      <c r="W66" s="38">
        <v>75.65</v>
      </c>
      <c r="X66" s="38">
        <v>8.3</v>
      </c>
      <c r="Z66" s="38">
        <v>0.36</v>
      </c>
      <c r="AD66" s="38">
        <v>7.59</v>
      </c>
      <c r="AF66" s="38">
        <v>352517.02</v>
      </c>
      <c r="AG66" s="38">
        <v>0</v>
      </c>
      <c r="AH66" s="38">
        <v>544573</v>
      </c>
      <c r="AP66" s="38">
        <v>39834.256</v>
      </c>
      <c r="AQ66" s="38">
        <v>20940.87</v>
      </c>
      <c r="AR66" s="38">
        <v>102726.55</v>
      </c>
      <c r="AS66" s="38">
        <v>102438.63</v>
      </c>
      <c r="AT66" s="38">
        <v>236.59</v>
      </c>
      <c r="AU66" s="38">
        <v>24.53</v>
      </c>
      <c r="AW66" s="38">
        <v>1.12</v>
      </c>
      <c r="BA66" s="38">
        <v>25.69</v>
      </c>
      <c r="BC66" s="38">
        <v>186444.74</v>
      </c>
      <c r="BD66" s="38">
        <v>5990.3</v>
      </c>
      <c r="BF66" s="38">
        <v>316102.46</v>
      </c>
      <c r="BG66" s="39">
        <f t="shared" ref="BG66:BG129" si="2">AQ66/BF66</f>
        <v>0.066247095957431</v>
      </c>
      <c r="BH66" s="39">
        <f t="shared" ref="BH66:BH129" si="3">AR66/BF66</f>
        <v>0.32497864774605</v>
      </c>
    </row>
    <row r="67" spans="1:60">
      <c r="A67" s="38">
        <v>66</v>
      </c>
      <c r="B67" s="38">
        <v>40</v>
      </c>
      <c r="C67" s="38">
        <v>2015</v>
      </c>
      <c r="D67" s="38" t="s">
        <v>181</v>
      </c>
      <c r="E67" s="38" t="s">
        <v>182</v>
      </c>
      <c r="F67" s="38" t="s">
        <v>56</v>
      </c>
      <c r="G67" s="38" t="s">
        <v>57</v>
      </c>
      <c r="H67" s="38">
        <v>336827</v>
      </c>
      <c r="I67" s="38" t="s">
        <v>58</v>
      </c>
      <c r="J67" s="38" t="s">
        <v>72</v>
      </c>
      <c r="K67" s="38" t="s">
        <v>118</v>
      </c>
      <c r="L67" s="38" t="s">
        <v>71</v>
      </c>
      <c r="M67" s="38" t="s">
        <v>59</v>
      </c>
      <c r="N67" s="38" t="s">
        <v>70</v>
      </c>
      <c r="O67" s="38" t="s">
        <v>173</v>
      </c>
      <c r="P67" s="38" t="s">
        <v>183</v>
      </c>
      <c r="U67" s="38">
        <v>27917.976</v>
      </c>
      <c r="V67" s="38">
        <v>34273.47</v>
      </c>
      <c r="W67" s="38">
        <v>75.65</v>
      </c>
      <c r="X67" s="38">
        <v>8.4</v>
      </c>
      <c r="Z67" s="38">
        <v>1.68</v>
      </c>
      <c r="AD67" s="38">
        <v>4.55</v>
      </c>
      <c r="AF67" s="38">
        <v>218329.35</v>
      </c>
      <c r="AG67" s="38">
        <v>0</v>
      </c>
      <c r="AH67" s="38">
        <v>337533</v>
      </c>
      <c r="AP67" s="38">
        <v>27917.976</v>
      </c>
      <c r="AQ67" s="38">
        <v>14676.48</v>
      </c>
      <c r="AR67" s="38">
        <v>63380.08</v>
      </c>
      <c r="AS67" s="38">
        <v>63098.07</v>
      </c>
      <c r="AT67" s="38">
        <v>236.59</v>
      </c>
      <c r="AU67" s="38">
        <v>24.82</v>
      </c>
      <c r="AW67" s="38">
        <v>5.22</v>
      </c>
      <c r="BA67" s="38">
        <v>15.38</v>
      </c>
      <c r="BC67" s="38">
        <v>116320.89</v>
      </c>
      <c r="BD67" s="38">
        <v>3712.86</v>
      </c>
      <c r="BF67" s="38">
        <v>198090.31</v>
      </c>
      <c r="BG67" s="39">
        <f t="shared" si="2"/>
        <v>0.0740898431629493</v>
      </c>
      <c r="BH67" s="39">
        <f t="shared" si="3"/>
        <v>0.31995547889243</v>
      </c>
    </row>
    <row r="68" spans="1:60">
      <c r="A68" s="38">
        <v>67</v>
      </c>
      <c r="B68" s="38">
        <v>41</v>
      </c>
      <c r="C68" s="38">
        <v>2016</v>
      </c>
      <c r="D68" s="38" t="s">
        <v>184</v>
      </c>
      <c r="E68" s="38" t="s">
        <v>185</v>
      </c>
      <c r="F68" s="38" t="s">
        <v>56</v>
      </c>
      <c r="G68" s="38" t="s">
        <v>57</v>
      </c>
      <c r="H68" s="38">
        <v>1739189</v>
      </c>
      <c r="I68" s="38" t="s">
        <v>58</v>
      </c>
      <c r="J68" s="38" t="s">
        <v>72</v>
      </c>
      <c r="K68" s="38" t="s">
        <v>118</v>
      </c>
      <c r="L68" s="38" t="s">
        <v>71</v>
      </c>
      <c r="M68" s="38" t="s">
        <v>59</v>
      </c>
      <c r="N68" s="38" t="s">
        <v>70</v>
      </c>
      <c r="U68" s="38">
        <v>122347.478</v>
      </c>
      <c r="V68" s="38">
        <v>241188</v>
      </c>
      <c r="W68" s="38">
        <v>58.66</v>
      </c>
      <c r="AF68" s="38">
        <v>1768138</v>
      </c>
      <c r="AG68" s="38">
        <v>0</v>
      </c>
      <c r="AH68" s="38">
        <v>2687569.76</v>
      </c>
      <c r="AP68" s="38">
        <v>122347.478</v>
      </c>
      <c r="AQ68" s="38">
        <v>64318.07</v>
      </c>
      <c r="AR68" s="38">
        <v>444214.85</v>
      </c>
      <c r="AS68" s="38">
        <v>444031.39</v>
      </c>
      <c r="AT68" s="38">
        <v>183.46</v>
      </c>
      <c r="BC68" s="38">
        <v>927880.93</v>
      </c>
      <c r="BD68" s="38">
        <v>9854.42</v>
      </c>
      <c r="BF68" s="38">
        <v>1446268</v>
      </c>
      <c r="BG68" s="39">
        <f t="shared" si="2"/>
        <v>0.0444717507405267</v>
      </c>
      <c r="BH68" s="39">
        <f t="shared" si="3"/>
        <v>0.307145598187888</v>
      </c>
    </row>
    <row r="69" spans="1:60">
      <c r="A69" s="38">
        <v>68</v>
      </c>
      <c r="B69" s="38">
        <v>42</v>
      </c>
      <c r="C69" s="38">
        <v>2016</v>
      </c>
      <c r="D69" s="38" t="s">
        <v>130</v>
      </c>
      <c r="E69" s="38" t="s">
        <v>186</v>
      </c>
      <c r="F69" s="38" t="s">
        <v>56</v>
      </c>
      <c r="G69" s="38" t="s">
        <v>57</v>
      </c>
      <c r="H69" s="38">
        <v>1226232</v>
      </c>
      <c r="I69" s="38" t="s">
        <v>58</v>
      </c>
      <c r="J69" s="38" t="s">
        <v>72</v>
      </c>
      <c r="K69" s="38" t="s">
        <v>118</v>
      </c>
      <c r="L69" s="38" t="s">
        <v>71</v>
      </c>
      <c r="M69" s="38" t="s">
        <v>59</v>
      </c>
      <c r="N69" s="38" t="s">
        <v>70</v>
      </c>
      <c r="O69" s="38" t="s">
        <v>173</v>
      </c>
      <c r="U69" s="38">
        <v>104749.72</v>
      </c>
      <c r="V69" s="38">
        <v>110537</v>
      </c>
      <c r="W69" s="38">
        <v>198.38</v>
      </c>
      <c r="Y69" s="38">
        <v>4240.04</v>
      </c>
      <c r="AF69" s="38">
        <v>946768</v>
      </c>
      <c r="AG69" s="38">
        <v>11.5</v>
      </c>
      <c r="AH69" s="38">
        <v>1434190</v>
      </c>
      <c r="AP69" s="38">
        <v>104749.72</v>
      </c>
      <c r="AQ69" s="38">
        <v>55066.93</v>
      </c>
      <c r="AR69" s="38">
        <v>217527.75</v>
      </c>
      <c r="AS69" s="38">
        <v>203500.58</v>
      </c>
      <c r="AT69" s="38">
        <v>620.43</v>
      </c>
      <c r="AV69" s="38">
        <v>13406.73</v>
      </c>
      <c r="BC69" s="38">
        <v>486048.2</v>
      </c>
      <c r="BD69" s="38">
        <v>5258.7</v>
      </c>
      <c r="BF69" s="38">
        <v>763902</v>
      </c>
      <c r="BG69" s="38">
        <f t="shared" si="2"/>
        <v>0.0720863801901291</v>
      </c>
      <c r="BH69" s="39">
        <f t="shared" si="3"/>
        <v>0.284758712505007</v>
      </c>
    </row>
    <row r="70" spans="1:60">
      <c r="A70" s="38">
        <v>69</v>
      </c>
      <c r="B70" s="38">
        <v>43</v>
      </c>
      <c r="C70" s="38">
        <v>2016</v>
      </c>
      <c r="F70" s="38" t="s">
        <v>56</v>
      </c>
      <c r="G70" s="38" t="s">
        <v>57</v>
      </c>
      <c r="H70" s="38" t="s">
        <v>92</v>
      </c>
      <c r="I70" s="38" t="s">
        <v>58</v>
      </c>
      <c r="J70" s="38" t="s">
        <v>72</v>
      </c>
      <c r="K70" s="38" t="s">
        <v>118</v>
      </c>
      <c r="L70" s="38" t="s">
        <v>71</v>
      </c>
      <c r="M70" s="38" t="s">
        <v>59</v>
      </c>
      <c r="N70" s="38" t="s">
        <v>70</v>
      </c>
      <c r="O70" s="38" t="s">
        <v>173</v>
      </c>
      <c r="U70" s="38">
        <v>57292.95</v>
      </c>
      <c r="V70" s="38">
        <v>138406.96</v>
      </c>
      <c r="W70" s="38">
        <v>9</v>
      </c>
      <c r="AF70" s="38">
        <v>920012.42</v>
      </c>
      <c r="AG70" s="38">
        <v>8.03</v>
      </c>
      <c r="AH70" s="38">
        <v>1407617.97</v>
      </c>
      <c r="AP70" s="38">
        <v>57292.95</v>
      </c>
      <c r="AQ70" s="38">
        <v>30118.9</v>
      </c>
      <c r="AR70" s="38">
        <v>277493.35</v>
      </c>
      <c r="AS70" s="38">
        <v>277465.2</v>
      </c>
      <c r="AT70" s="38">
        <v>28.15</v>
      </c>
      <c r="BC70" s="38">
        <v>478614.35</v>
      </c>
      <c r="BD70" s="38">
        <v>15483.8</v>
      </c>
      <c r="BF70" s="38">
        <v>801710</v>
      </c>
      <c r="BG70" s="38">
        <f t="shared" si="2"/>
        <v>0.0375683227102069</v>
      </c>
      <c r="BH70" s="39">
        <f t="shared" si="3"/>
        <v>0.346126841376558</v>
      </c>
    </row>
    <row r="71" spans="1:60">
      <c r="A71" s="38">
        <v>70</v>
      </c>
      <c r="B71" s="38">
        <v>44</v>
      </c>
      <c r="C71" s="38">
        <v>2016</v>
      </c>
      <c r="F71" s="38" t="s">
        <v>56</v>
      </c>
      <c r="G71" s="38" t="s">
        <v>57</v>
      </c>
      <c r="H71" s="38" t="s">
        <v>92</v>
      </c>
      <c r="I71" s="38" t="s">
        <v>58</v>
      </c>
      <c r="J71" s="38" t="s">
        <v>72</v>
      </c>
      <c r="K71" s="38" t="s">
        <v>116</v>
      </c>
      <c r="L71" s="38" t="s">
        <v>71</v>
      </c>
      <c r="M71" s="38" t="s">
        <v>59</v>
      </c>
      <c r="N71" s="38" t="s">
        <v>70</v>
      </c>
      <c r="U71" s="38">
        <v>93347.765</v>
      </c>
      <c r="V71" s="38">
        <v>263233.78</v>
      </c>
      <c r="W71" s="38">
        <v>93.04</v>
      </c>
      <c r="AF71" s="38">
        <v>1903451.67</v>
      </c>
      <c r="AG71" s="38">
        <v>26.6</v>
      </c>
      <c r="AH71" s="38">
        <v>2968223.09</v>
      </c>
      <c r="AP71" s="38">
        <v>93347.765</v>
      </c>
      <c r="AQ71" s="38">
        <v>49072.92</v>
      </c>
      <c r="AR71" s="38">
        <v>537407.27</v>
      </c>
      <c r="AS71" s="38">
        <v>537116.29</v>
      </c>
      <c r="AT71" s="38">
        <v>290.98</v>
      </c>
      <c r="BC71" s="38">
        <v>991396.75</v>
      </c>
      <c r="BD71" s="38">
        <v>32650.45</v>
      </c>
      <c r="BF71" s="38">
        <v>1610527</v>
      </c>
      <c r="BG71" s="38">
        <f t="shared" si="2"/>
        <v>0.0304701007806761</v>
      </c>
      <c r="BH71" s="39">
        <f t="shared" si="3"/>
        <v>0.333684110853156</v>
      </c>
    </row>
    <row r="72" spans="1:60">
      <c r="A72" s="38">
        <v>71</v>
      </c>
      <c r="B72" s="38">
        <v>45</v>
      </c>
      <c r="C72" s="38">
        <v>2016</v>
      </c>
      <c r="F72" s="38" t="s">
        <v>56</v>
      </c>
      <c r="G72" s="38" t="s">
        <v>57</v>
      </c>
      <c r="H72" s="38" t="s">
        <v>92</v>
      </c>
      <c r="I72" s="38" t="s">
        <v>58</v>
      </c>
      <c r="J72" s="38" t="s">
        <v>72</v>
      </c>
      <c r="K72" s="38" t="s">
        <v>118</v>
      </c>
      <c r="L72" s="38" t="s">
        <v>71</v>
      </c>
      <c r="M72" s="38" t="s">
        <v>59</v>
      </c>
      <c r="N72" s="38" t="s">
        <v>70</v>
      </c>
      <c r="O72" s="38" t="s">
        <v>173</v>
      </c>
      <c r="U72" s="38">
        <v>69891.759</v>
      </c>
      <c r="V72" s="38">
        <v>227221.05</v>
      </c>
      <c r="W72" s="38">
        <v>63.04</v>
      </c>
      <c r="AF72" s="38">
        <v>1522574.54</v>
      </c>
      <c r="AG72" s="38">
        <v>63.35</v>
      </c>
      <c r="AH72" s="38">
        <v>2446064.8</v>
      </c>
      <c r="AP72" s="38">
        <v>69891.759</v>
      </c>
      <c r="AQ72" s="38">
        <v>36742.1</v>
      </c>
      <c r="AR72" s="38">
        <v>482214.05</v>
      </c>
      <c r="AS72" s="38">
        <v>482016.89</v>
      </c>
      <c r="AT72" s="38">
        <v>197.16</v>
      </c>
      <c r="BC72" s="38">
        <v>823190.25</v>
      </c>
      <c r="BD72" s="38">
        <v>8968.9</v>
      </c>
      <c r="BF72" s="38">
        <v>1351115</v>
      </c>
      <c r="BG72" s="38">
        <f t="shared" si="2"/>
        <v>0.0271939102148966</v>
      </c>
      <c r="BH72" s="39">
        <f t="shared" si="3"/>
        <v>0.356900818953235</v>
      </c>
    </row>
    <row r="73" spans="1:60">
      <c r="A73" s="38">
        <v>72</v>
      </c>
      <c r="B73" s="38">
        <v>46</v>
      </c>
      <c r="C73" s="38">
        <v>2016</v>
      </c>
      <c r="F73" s="38" t="s">
        <v>56</v>
      </c>
      <c r="G73" s="38" t="s">
        <v>57</v>
      </c>
      <c r="H73" s="38" t="s">
        <v>92</v>
      </c>
      <c r="I73" s="38" t="s">
        <v>58</v>
      </c>
      <c r="J73" s="38" t="s">
        <v>187</v>
      </c>
      <c r="K73" s="38" t="s">
        <v>68</v>
      </c>
      <c r="L73" s="38" t="s">
        <v>188</v>
      </c>
      <c r="M73" s="38" t="s">
        <v>59</v>
      </c>
      <c r="N73" s="38" t="s">
        <v>189</v>
      </c>
      <c r="O73" s="38" t="s">
        <v>190</v>
      </c>
      <c r="U73" s="38">
        <v>37713.36</v>
      </c>
      <c r="V73" s="38">
        <v>40158.45</v>
      </c>
      <c r="W73" s="38">
        <v>90</v>
      </c>
      <c r="AF73" s="38">
        <v>259585.43</v>
      </c>
      <c r="AG73" s="38">
        <v>17.5</v>
      </c>
      <c r="AH73" s="38">
        <v>394201.85</v>
      </c>
      <c r="AP73" s="38">
        <v>37713.36</v>
      </c>
      <c r="AQ73" s="38">
        <v>19825.91</v>
      </c>
      <c r="AR73" s="38">
        <v>74213.89</v>
      </c>
      <c r="AS73" s="38">
        <v>73932.42</v>
      </c>
      <c r="AT73" s="38">
        <v>281.48</v>
      </c>
      <c r="BC73" s="38">
        <v>140610.92</v>
      </c>
      <c r="BD73" s="38">
        <v>1445.41</v>
      </c>
      <c r="BF73" s="38">
        <v>236096</v>
      </c>
      <c r="BG73" s="38">
        <f t="shared" si="2"/>
        <v>0.0839739343317972</v>
      </c>
      <c r="BH73" s="39">
        <f t="shared" si="3"/>
        <v>0.314337769381946</v>
      </c>
    </row>
    <row r="74" spans="1:60">
      <c r="A74" s="38">
        <v>73</v>
      </c>
      <c r="B74" s="38">
        <v>47</v>
      </c>
      <c r="C74" s="38">
        <v>2016</v>
      </c>
      <c r="F74" s="38" t="s">
        <v>56</v>
      </c>
      <c r="G74" s="38" t="s">
        <v>57</v>
      </c>
      <c r="H74" s="38" t="s">
        <v>92</v>
      </c>
      <c r="I74" s="38" t="s">
        <v>58</v>
      </c>
      <c r="J74" s="38" t="s">
        <v>70</v>
      </c>
      <c r="K74" s="38" t="s">
        <v>116</v>
      </c>
      <c r="L74" s="38" t="s">
        <v>64</v>
      </c>
      <c r="M74" s="38" t="s">
        <v>173</v>
      </c>
      <c r="N74" s="38" t="s">
        <v>59</v>
      </c>
      <c r="O74" s="38" t="s">
        <v>72</v>
      </c>
      <c r="P74" s="38" t="s">
        <v>81</v>
      </c>
      <c r="Q74" s="38" t="s">
        <v>191</v>
      </c>
      <c r="U74" s="38">
        <v>182430</v>
      </c>
      <c r="V74" s="38">
        <v>653062</v>
      </c>
      <c r="W74" s="38">
        <v>1947.76</v>
      </c>
      <c r="AE74" s="38">
        <v>1842</v>
      </c>
      <c r="AF74" s="38">
        <v>4556640</v>
      </c>
      <c r="AG74" s="38">
        <v>88.21</v>
      </c>
      <c r="AH74" s="38">
        <v>6971657</v>
      </c>
      <c r="AP74" s="38">
        <v>182430</v>
      </c>
      <c r="AQ74" s="38">
        <v>95903.45</v>
      </c>
      <c r="AR74" s="38">
        <v>1390183.64</v>
      </c>
      <c r="AS74" s="38">
        <v>1379233.85</v>
      </c>
      <c r="AT74" s="38">
        <v>6091.62</v>
      </c>
      <c r="BB74" s="38">
        <v>4858.17</v>
      </c>
      <c r="BC74" s="38">
        <v>2399006.74</v>
      </c>
      <c r="BD74" s="38">
        <v>76688.25</v>
      </c>
      <c r="BF74" s="38">
        <v>3961782</v>
      </c>
      <c r="BG74" s="38">
        <f t="shared" si="2"/>
        <v>0.0242071497119226</v>
      </c>
      <c r="BH74" s="39">
        <f t="shared" si="3"/>
        <v>0.350898570390799</v>
      </c>
    </row>
    <row r="75" spans="1:60">
      <c r="A75" s="38">
        <v>74</v>
      </c>
      <c r="B75" s="38">
        <v>48</v>
      </c>
      <c r="C75" s="38">
        <v>2016</v>
      </c>
      <c r="F75" s="38" t="s">
        <v>56</v>
      </c>
      <c r="G75" s="38" t="s">
        <v>57</v>
      </c>
      <c r="H75" s="38" t="s">
        <v>92</v>
      </c>
      <c r="I75" s="38" t="s">
        <v>58</v>
      </c>
      <c r="J75" s="38" t="s">
        <v>70</v>
      </c>
      <c r="K75" s="38" t="s">
        <v>116</v>
      </c>
      <c r="L75" s="38" t="s">
        <v>64</v>
      </c>
      <c r="M75" s="38" t="s">
        <v>118</v>
      </c>
      <c r="N75" s="38" t="s">
        <v>59</v>
      </c>
      <c r="O75" s="38" t="s">
        <v>72</v>
      </c>
      <c r="U75" s="38">
        <v>214052.988</v>
      </c>
      <c r="V75" s="38">
        <v>553899.22</v>
      </c>
      <c r="W75" s="38">
        <v>253.19</v>
      </c>
      <c r="X75" s="38">
        <v>8.53</v>
      </c>
      <c r="AF75" s="38">
        <v>3780633.92</v>
      </c>
      <c r="AG75" s="38">
        <v>79.7</v>
      </c>
      <c r="AH75" s="38">
        <v>5973401.59</v>
      </c>
      <c r="AP75" s="38">
        <v>214052.988</v>
      </c>
      <c r="AQ75" s="38">
        <v>112527.66</v>
      </c>
      <c r="AR75" s="38">
        <v>1136754.45</v>
      </c>
      <c r="AS75" s="38">
        <v>1135937.39</v>
      </c>
      <c r="AT75" s="38">
        <v>791.85</v>
      </c>
      <c r="AU75" s="38">
        <v>25.21</v>
      </c>
      <c r="BC75" s="38">
        <v>1912862.86</v>
      </c>
      <c r="BD75" s="38">
        <v>65707.42</v>
      </c>
      <c r="BF75" s="38">
        <v>3227852</v>
      </c>
      <c r="BG75" s="38">
        <f t="shared" si="2"/>
        <v>0.034861468245756</v>
      </c>
      <c r="BH75" s="39">
        <f t="shared" si="3"/>
        <v>0.352170561103793</v>
      </c>
    </row>
    <row r="76" spans="1:60">
      <c r="A76" s="38">
        <v>75</v>
      </c>
      <c r="B76" s="38">
        <v>49</v>
      </c>
      <c r="C76" s="38">
        <v>2016</v>
      </c>
      <c r="F76" s="38" t="s">
        <v>56</v>
      </c>
      <c r="G76" s="38" t="s">
        <v>57</v>
      </c>
      <c r="H76" s="38" t="s">
        <v>92</v>
      </c>
      <c r="I76" s="38" t="s">
        <v>58</v>
      </c>
      <c r="J76" s="38" t="s">
        <v>70</v>
      </c>
      <c r="K76" s="38" t="s">
        <v>116</v>
      </c>
      <c r="L76" s="38" t="s">
        <v>64</v>
      </c>
      <c r="M76" s="38" t="s">
        <v>118</v>
      </c>
      <c r="N76" s="38" t="s">
        <v>59</v>
      </c>
      <c r="O76" s="38" t="s">
        <v>72</v>
      </c>
      <c r="U76" s="38">
        <v>112186.8</v>
      </c>
      <c r="V76" s="38">
        <v>298380.38</v>
      </c>
      <c r="W76" s="38">
        <v>57</v>
      </c>
      <c r="AF76" s="38">
        <v>2050200</v>
      </c>
      <c r="AG76" s="38">
        <v>88.33</v>
      </c>
      <c r="AH76" s="38">
        <v>3244410.46</v>
      </c>
      <c r="AP76" s="38">
        <v>112186.8</v>
      </c>
      <c r="AQ76" s="38">
        <v>58976.6</v>
      </c>
      <c r="AR76" s="38">
        <v>549501.84</v>
      </c>
      <c r="AS76" s="38">
        <v>549323.57</v>
      </c>
      <c r="AT76" s="38">
        <v>178.27</v>
      </c>
      <c r="BC76" s="38">
        <v>1104300.21</v>
      </c>
      <c r="BD76" s="38">
        <v>11896.17</v>
      </c>
      <c r="BF76" s="38">
        <v>1724675</v>
      </c>
      <c r="BG76" s="38">
        <f t="shared" si="2"/>
        <v>0.0341957760157711</v>
      </c>
      <c r="BH76" s="39">
        <f t="shared" si="3"/>
        <v>0.318611819618189</v>
      </c>
    </row>
    <row r="77" spans="1:60">
      <c r="A77" s="38">
        <v>76</v>
      </c>
      <c r="B77" s="38">
        <v>50</v>
      </c>
      <c r="C77" s="38">
        <v>2016</v>
      </c>
      <c r="F77" s="38" t="s">
        <v>56</v>
      </c>
      <c r="G77" s="38" t="s">
        <v>57</v>
      </c>
      <c r="H77" s="38" t="s">
        <v>92</v>
      </c>
      <c r="I77" s="38" t="s">
        <v>58</v>
      </c>
      <c r="J77" s="38" t="s">
        <v>70</v>
      </c>
      <c r="K77" s="38" t="s">
        <v>116</v>
      </c>
      <c r="L77" s="38" t="s">
        <v>64</v>
      </c>
      <c r="M77" s="38" t="s">
        <v>192</v>
      </c>
      <c r="N77" s="38" t="s">
        <v>59</v>
      </c>
      <c r="O77" s="38" t="s">
        <v>72</v>
      </c>
      <c r="U77" s="38">
        <v>50619.584</v>
      </c>
      <c r="V77" s="38">
        <v>180215.5</v>
      </c>
      <c r="W77" s="38">
        <v>45</v>
      </c>
      <c r="AE77" s="38">
        <v>587.7</v>
      </c>
      <c r="AF77" s="38">
        <v>1218899.83</v>
      </c>
      <c r="AG77" s="38">
        <v>54.1</v>
      </c>
      <c r="AH77" s="38">
        <v>1968961.91</v>
      </c>
      <c r="AP77" s="38">
        <v>50619.584</v>
      </c>
      <c r="AQ77" s="38">
        <v>26610.72</v>
      </c>
      <c r="AR77" s="38">
        <v>383701.27</v>
      </c>
      <c r="AS77" s="38">
        <v>382301.35</v>
      </c>
      <c r="AT77" s="38">
        <v>140.74</v>
      </c>
      <c r="BB77" s="38">
        <v>1259.18</v>
      </c>
      <c r="BC77" s="38">
        <v>653836.44</v>
      </c>
      <c r="BD77" s="38">
        <v>21658.58</v>
      </c>
      <c r="BF77" s="38">
        <v>1085807.01</v>
      </c>
      <c r="BG77" s="38">
        <f t="shared" si="2"/>
        <v>0.0245077806230041</v>
      </c>
      <c r="BH77" s="39">
        <f t="shared" si="3"/>
        <v>0.353378884522029</v>
      </c>
    </row>
    <row r="78" spans="1:60">
      <c r="A78" s="38">
        <v>77</v>
      </c>
      <c r="B78" s="38">
        <v>51</v>
      </c>
      <c r="C78" s="38">
        <v>2016</v>
      </c>
      <c r="F78" s="38" t="s">
        <v>56</v>
      </c>
      <c r="G78" s="38" t="s">
        <v>57</v>
      </c>
      <c r="H78" s="38" t="s">
        <v>92</v>
      </c>
      <c r="I78" s="38" t="s">
        <v>58</v>
      </c>
      <c r="J78" s="38" t="s">
        <v>126</v>
      </c>
      <c r="K78" s="38" t="s">
        <v>116</v>
      </c>
      <c r="L78" s="38" t="s">
        <v>173</v>
      </c>
      <c r="M78" s="38" t="s">
        <v>192</v>
      </c>
      <c r="N78" s="38" t="s">
        <v>59</v>
      </c>
      <c r="O78" s="38" t="s">
        <v>72</v>
      </c>
      <c r="P78" s="38" t="s">
        <v>129</v>
      </c>
      <c r="U78" s="38">
        <v>50056.6</v>
      </c>
      <c r="V78" s="38">
        <v>102086.91</v>
      </c>
      <c r="W78" s="38">
        <v>64.91</v>
      </c>
      <c r="AF78" s="38">
        <v>667605.93</v>
      </c>
      <c r="AG78" s="38">
        <v>26.19</v>
      </c>
      <c r="AH78" s="38">
        <v>1028380.55</v>
      </c>
      <c r="AP78" s="38">
        <v>50056.6</v>
      </c>
      <c r="AQ78" s="38">
        <v>26314.75</v>
      </c>
      <c r="AR78" s="38">
        <v>220962.56</v>
      </c>
      <c r="AS78" s="38">
        <v>220759.55</v>
      </c>
      <c r="AT78" s="38">
        <v>203.01</v>
      </c>
      <c r="BC78" s="38">
        <v>350915.07</v>
      </c>
      <c r="BD78" s="38">
        <v>3770.73</v>
      </c>
      <c r="BF78" s="38">
        <v>601963</v>
      </c>
      <c r="BG78" s="38">
        <f t="shared" si="2"/>
        <v>0.0437148960982652</v>
      </c>
      <c r="BH78" s="39">
        <f t="shared" si="3"/>
        <v>0.367070002641358</v>
      </c>
    </row>
    <row r="79" spans="1:60">
      <c r="A79" s="38">
        <v>78</v>
      </c>
      <c r="B79" s="38">
        <v>52</v>
      </c>
      <c r="C79" s="38">
        <v>2016</v>
      </c>
      <c r="F79" s="38" t="s">
        <v>56</v>
      </c>
      <c r="G79" s="38" t="s">
        <v>57</v>
      </c>
      <c r="H79" s="38" t="s">
        <v>92</v>
      </c>
      <c r="I79" s="38" t="s">
        <v>58</v>
      </c>
      <c r="J79" s="38" t="s">
        <v>193</v>
      </c>
      <c r="K79" s="38" t="s">
        <v>116</v>
      </c>
      <c r="L79" s="38" t="s">
        <v>140</v>
      </c>
      <c r="M79" s="38" t="s">
        <v>64</v>
      </c>
      <c r="N79" s="38" t="s">
        <v>194</v>
      </c>
      <c r="U79" s="38">
        <v>7065.331</v>
      </c>
      <c r="AP79" s="38">
        <v>7065.331</v>
      </c>
      <c r="AQ79" s="38">
        <v>3714.24</v>
      </c>
      <c r="BF79" s="38">
        <v>3714.24</v>
      </c>
      <c r="BG79" s="38">
        <f t="shared" si="2"/>
        <v>1</v>
      </c>
      <c r="BH79" s="39">
        <f t="shared" si="3"/>
        <v>0</v>
      </c>
    </row>
    <row r="80" ht="15.5" spans="1:60">
      <c r="A80" s="38">
        <v>79</v>
      </c>
      <c r="B80" s="38">
        <v>53</v>
      </c>
      <c r="C80" s="38">
        <v>2013</v>
      </c>
      <c r="D80" s="38" t="s">
        <v>195</v>
      </c>
      <c r="E80" s="38" t="s">
        <v>196</v>
      </c>
      <c r="F80" s="38" t="s">
        <v>56</v>
      </c>
      <c r="G80" s="38" t="s">
        <v>57</v>
      </c>
      <c r="H80" s="38">
        <v>1947924</v>
      </c>
      <c r="I80" s="38" t="s">
        <v>58</v>
      </c>
      <c r="U80" s="38">
        <v>156456.96</v>
      </c>
      <c r="V80" s="38">
        <v>362355</v>
      </c>
      <c r="W80" s="38">
        <v>988.7588</v>
      </c>
      <c r="AF80" s="38">
        <v>2497161.6</v>
      </c>
      <c r="AG80" s="38">
        <v>0</v>
      </c>
      <c r="AH80" s="38">
        <v>3829387</v>
      </c>
      <c r="AP80" s="38">
        <v>156456.96</v>
      </c>
      <c r="AQ80" s="38">
        <v>82249.4</v>
      </c>
      <c r="AR80" s="38">
        <v>749942.3</v>
      </c>
      <c r="AS80" s="38">
        <v>746850</v>
      </c>
      <c r="AT80" s="38">
        <v>3092.3</v>
      </c>
      <c r="BC80" s="38">
        <v>1333687.6</v>
      </c>
      <c r="BD80" s="38">
        <v>28082.2</v>
      </c>
      <c r="BF80" s="38">
        <v>2193962</v>
      </c>
      <c r="BG80" s="38">
        <f t="shared" si="2"/>
        <v>0.0374889811218243</v>
      </c>
      <c r="BH80" s="39">
        <f t="shared" si="3"/>
        <v>0.341821006927194</v>
      </c>
    </row>
    <row r="81" ht="15.5" spans="1:60">
      <c r="A81" s="38">
        <v>80</v>
      </c>
      <c r="B81" s="38">
        <v>53</v>
      </c>
      <c r="C81" s="38">
        <v>2014</v>
      </c>
      <c r="D81" s="38" t="s">
        <v>195</v>
      </c>
      <c r="E81" s="38" t="s">
        <v>197</v>
      </c>
      <c r="F81" s="38" t="s">
        <v>56</v>
      </c>
      <c r="G81" s="38" t="s">
        <v>57</v>
      </c>
      <c r="H81" s="38">
        <v>1700083</v>
      </c>
      <c r="I81" s="38" t="s">
        <v>58</v>
      </c>
      <c r="U81" s="38">
        <v>147647.28</v>
      </c>
      <c r="V81" s="38">
        <v>340190</v>
      </c>
      <c r="W81" s="38">
        <v>1066.0484</v>
      </c>
      <c r="AF81" s="38">
        <v>2373186.65</v>
      </c>
      <c r="AG81" s="38">
        <v>0</v>
      </c>
      <c r="AH81" s="38">
        <v>3640438</v>
      </c>
      <c r="AP81" s="38">
        <v>147647.28</v>
      </c>
      <c r="AQ81" s="38">
        <v>77618.2</v>
      </c>
      <c r="AR81" s="38">
        <v>714013.6</v>
      </c>
      <c r="AS81" s="38">
        <v>710679.5</v>
      </c>
      <c r="AT81" s="38">
        <v>3334.1</v>
      </c>
      <c r="BC81" s="38">
        <v>1269376.9</v>
      </c>
      <c r="BD81" s="38">
        <v>26696.5</v>
      </c>
      <c r="BF81" s="38">
        <v>2087705</v>
      </c>
      <c r="BG81" s="38">
        <f t="shared" si="2"/>
        <v>0.0371787201735877</v>
      </c>
      <c r="BH81" s="39">
        <f t="shared" si="3"/>
        <v>0.342008856615278</v>
      </c>
    </row>
    <row r="82" ht="15.5" spans="1:60">
      <c r="A82" s="38">
        <v>81</v>
      </c>
      <c r="B82" s="38">
        <v>53</v>
      </c>
      <c r="C82" s="38">
        <v>2015</v>
      </c>
      <c r="D82" s="38" t="s">
        <v>195</v>
      </c>
      <c r="E82" s="38" t="s">
        <v>198</v>
      </c>
      <c r="F82" s="38" t="s">
        <v>56</v>
      </c>
      <c r="G82" s="38" t="s">
        <v>57</v>
      </c>
      <c r="H82" s="38">
        <v>1398337</v>
      </c>
      <c r="I82" s="38" t="s">
        <v>58</v>
      </c>
      <c r="U82" s="38">
        <v>129419.32</v>
      </c>
      <c r="V82" s="38">
        <v>286607.35</v>
      </c>
      <c r="W82" s="38">
        <v>868.2635</v>
      </c>
      <c r="AF82" s="38">
        <v>1958826.46</v>
      </c>
      <c r="AG82" s="38">
        <v>0</v>
      </c>
      <c r="AH82" s="38">
        <v>2985833</v>
      </c>
      <c r="AP82" s="38">
        <v>129419.32</v>
      </c>
      <c r="AQ82" s="38">
        <v>68035.7</v>
      </c>
      <c r="AR82" s="38">
        <v>595946.8</v>
      </c>
      <c r="AS82" s="38">
        <v>593231.3</v>
      </c>
      <c r="AT82" s="38">
        <v>2715.5</v>
      </c>
      <c r="BC82" s="38">
        <v>1044510.6</v>
      </c>
      <c r="BD82" s="38">
        <v>21896.1</v>
      </c>
      <c r="BF82" s="38">
        <v>1730386</v>
      </c>
      <c r="BG82" s="39">
        <f t="shared" si="2"/>
        <v>0.0393182214835303</v>
      </c>
      <c r="BH82" s="39">
        <f t="shared" si="3"/>
        <v>0.344401075829324</v>
      </c>
    </row>
    <row r="83" spans="1:60">
      <c r="A83" s="38">
        <v>82</v>
      </c>
      <c r="B83" s="38">
        <v>54</v>
      </c>
      <c r="C83" s="38">
        <v>2016</v>
      </c>
      <c r="F83" s="38" t="s">
        <v>56</v>
      </c>
      <c r="G83" s="38" t="s">
        <v>57</v>
      </c>
      <c r="H83" s="38" t="s">
        <v>92</v>
      </c>
      <c r="I83" s="38" t="s">
        <v>58</v>
      </c>
      <c r="J83" s="38" t="s">
        <v>116</v>
      </c>
      <c r="K83" s="38" t="s">
        <v>118</v>
      </c>
      <c r="L83" s="38" t="s">
        <v>59</v>
      </c>
      <c r="M83" s="38" t="s">
        <v>193</v>
      </c>
      <c r="N83" s="38" t="s">
        <v>129</v>
      </c>
      <c r="O83" s="38" t="s">
        <v>72</v>
      </c>
      <c r="P83" s="38" t="s">
        <v>70</v>
      </c>
      <c r="Q83" s="38" t="s">
        <v>64</v>
      </c>
      <c r="U83" s="38">
        <v>51600.119</v>
      </c>
      <c r="V83" s="38">
        <v>71511</v>
      </c>
      <c r="W83" s="38">
        <v>94.51</v>
      </c>
      <c r="AE83" s="38">
        <v>71564.5</v>
      </c>
      <c r="AF83" s="38">
        <v>954852.61</v>
      </c>
      <c r="AG83" s="38">
        <v>20.16</v>
      </c>
      <c r="AH83" s="38">
        <v>1446536.25</v>
      </c>
      <c r="AP83" s="38">
        <v>51600.119</v>
      </c>
      <c r="AQ83" s="38">
        <v>27126.18</v>
      </c>
      <c r="AR83" s="38">
        <v>320696.07</v>
      </c>
      <c r="AS83" s="38">
        <v>131653.02</v>
      </c>
      <c r="AT83" s="38">
        <v>295.58</v>
      </c>
      <c r="BB83" s="38">
        <v>188747.47</v>
      </c>
      <c r="BC83" s="38">
        <v>468610.63</v>
      </c>
      <c r="BD83" s="38">
        <v>5303.97</v>
      </c>
      <c r="BF83" s="38">
        <v>821737</v>
      </c>
      <c r="BG83" s="39">
        <f t="shared" si="2"/>
        <v>0.0330107808216011</v>
      </c>
      <c r="BH83" s="39">
        <f t="shared" si="3"/>
        <v>0.390266070531082</v>
      </c>
    </row>
    <row r="84" spans="1:60">
      <c r="A84" s="38">
        <v>83</v>
      </c>
      <c r="B84" s="38">
        <v>55</v>
      </c>
      <c r="C84" s="38">
        <v>2016</v>
      </c>
      <c r="F84" s="38" t="s">
        <v>56</v>
      </c>
      <c r="G84" s="38" t="s">
        <v>57</v>
      </c>
      <c r="H84" s="38" t="s">
        <v>92</v>
      </c>
      <c r="I84" s="38" t="s">
        <v>58</v>
      </c>
      <c r="J84" s="38" t="s">
        <v>116</v>
      </c>
      <c r="K84" s="38" t="s">
        <v>145</v>
      </c>
      <c r="L84" s="38" t="s">
        <v>118</v>
      </c>
      <c r="M84" s="38" t="s">
        <v>193</v>
      </c>
      <c r="N84" s="38" t="s">
        <v>129</v>
      </c>
      <c r="O84" s="38" t="s">
        <v>72</v>
      </c>
      <c r="P84" s="38" t="s">
        <v>70</v>
      </c>
      <c r="Q84" s="38" t="s">
        <v>194</v>
      </c>
      <c r="U84" s="38">
        <v>32794.467</v>
      </c>
      <c r="W84" s="38">
        <v>89.89</v>
      </c>
      <c r="Y84" s="38">
        <v>42870.8</v>
      </c>
      <c r="AF84" s="38">
        <v>308210</v>
      </c>
      <c r="AG84" s="38">
        <v>77.67</v>
      </c>
      <c r="AH84" s="38">
        <v>508830.4</v>
      </c>
      <c r="AP84" s="38">
        <v>32794.467</v>
      </c>
      <c r="AQ84" s="38">
        <v>17240.05</v>
      </c>
      <c r="AR84" s="38">
        <v>140772.31</v>
      </c>
      <c r="AT84" s="38">
        <v>281.13</v>
      </c>
      <c r="AV84" s="38">
        <v>140491.18</v>
      </c>
      <c r="BC84" s="38">
        <v>169844.05</v>
      </c>
      <c r="BD84" s="38">
        <v>1865.71</v>
      </c>
      <c r="BF84" s="38">
        <v>329722</v>
      </c>
      <c r="BG84" s="39">
        <f t="shared" si="2"/>
        <v>0.0522866232765785</v>
      </c>
      <c r="BH84" s="39">
        <f t="shared" si="3"/>
        <v>0.426942424224043</v>
      </c>
    </row>
    <row r="85" ht="15" spans="1:60">
      <c r="A85" s="38">
        <v>84</v>
      </c>
      <c r="B85" s="38">
        <v>56</v>
      </c>
      <c r="C85" s="38">
        <v>2013</v>
      </c>
      <c r="D85" s="38" t="s">
        <v>199</v>
      </c>
      <c r="E85" s="38" t="s">
        <v>200</v>
      </c>
      <c r="F85" s="38" t="s">
        <v>56</v>
      </c>
      <c r="G85" s="38" t="s">
        <v>57</v>
      </c>
      <c r="H85" s="38">
        <v>2454780</v>
      </c>
      <c r="I85" s="38" t="s">
        <v>58</v>
      </c>
      <c r="U85" s="38">
        <v>186422.795</v>
      </c>
      <c r="V85" s="38">
        <v>282534</v>
      </c>
      <c r="W85" s="38">
        <v>1033</v>
      </c>
      <c r="AF85" s="38">
        <v>1807000</v>
      </c>
      <c r="AG85" s="38">
        <v>0</v>
      </c>
      <c r="AH85" s="38">
        <v>2747110</v>
      </c>
      <c r="AP85" s="38">
        <v>186422.795</v>
      </c>
      <c r="AQ85" s="38">
        <v>98002.5</v>
      </c>
      <c r="AR85" s="38">
        <v>665493</v>
      </c>
      <c r="AS85" s="38">
        <v>662262.3</v>
      </c>
      <c r="AT85" s="38">
        <v>3230.7</v>
      </c>
      <c r="BC85" s="38">
        <v>978289.1</v>
      </c>
      <c r="BD85" s="38">
        <v>20145.5</v>
      </c>
      <c r="BF85" s="38">
        <v>1761930</v>
      </c>
      <c r="BG85" s="39">
        <f t="shared" si="2"/>
        <v>0.0556222437894809</v>
      </c>
      <c r="BH85" s="39">
        <f t="shared" si="3"/>
        <v>0.37770683284807</v>
      </c>
    </row>
    <row r="86" ht="15" spans="1:60">
      <c r="A86" s="38">
        <v>85</v>
      </c>
      <c r="B86" s="38">
        <v>56</v>
      </c>
      <c r="C86" s="38">
        <v>2014</v>
      </c>
      <c r="D86" s="38" t="s">
        <v>199</v>
      </c>
      <c r="E86" s="38" t="s">
        <v>200</v>
      </c>
      <c r="F86" s="38" t="s">
        <v>56</v>
      </c>
      <c r="G86" s="38" t="s">
        <v>57</v>
      </c>
      <c r="H86" s="38">
        <v>2653570</v>
      </c>
      <c r="I86" s="38" t="s">
        <v>58</v>
      </c>
      <c r="U86" s="38">
        <v>200688.045</v>
      </c>
      <c r="V86" s="38">
        <v>289825</v>
      </c>
      <c r="W86" s="38">
        <v>841</v>
      </c>
      <c r="AF86" s="38">
        <v>1972500</v>
      </c>
      <c r="AG86" s="38">
        <v>0</v>
      </c>
      <c r="AH86" s="38">
        <v>2996800</v>
      </c>
      <c r="AP86" s="38">
        <v>200688.045</v>
      </c>
      <c r="AQ86" s="38">
        <v>105501.7</v>
      </c>
      <c r="AR86" s="38">
        <v>683106.2</v>
      </c>
      <c r="AS86" s="38">
        <v>680475.9</v>
      </c>
      <c r="AT86" s="38">
        <v>2630.2</v>
      </c>
      <c r="BC86" s="38">
        <v>1065161.3</v>
      </c>
      <c r="BD86" s="38">
        <v>21976.5</v>
      </c>
      <c r="BF86" s="38">
        <v>1875746</v>
      </c>
      <c r="BG86" s="39">
        <f t="shared" si="2"/>
        <v>0.0562451952449852</v>
      </c>
      <c r="BH86" s="39">
        <f t="shared" si="3"/>
        <v>0.364178412215726</v>
      </c>
    </row>
    <row r="87" ht="15" spans="1:60">
      <c r="A87" s="38">
        <v>86</v>
      </c>
      <c r="B87" s="38">
        <v>56</v>
      </c>
      <c r="C87" s="38">
        <v>2015</v>
      </c>
      <c r="D87" s="38" t="s">
        <v>199</v>
      </c>
      <c r="E87" s="38" t="s">
        <v>200</v>
      </c>
      <c r="F87" s="38" t="s">
        <v>56</v>
      </c>
      <c r="G87" s="38" t="s">
        <v>57</v>
      </c>
      <c r="H87" s="38">
        <v>2687453</v>
      </c>
      <c r="I87" s="38" t="s">
        <v>58</v>
      </c>
      <c r="U87" s="38">
        <v>143915.822</v>
      </c>
      <c r="V87" s="38">
        <v>274500</v>
      </c>
      <c r="W87" s="38">
        <v>939</v>
      </c>
      <c r="AF87" s="38">
        <v>1940900</v>
      </c>
      <c r="AG87" s="38">
        <v>0</v>
      </c>
      <c r="AH87" s="38">
        <v>2950168</v>
      </c>
      <c r="AP87" s="38">
        <v>143915.822</v>
      </c>
      <c r="AQ87" s="38">
        <v>75656.5</v>
      </c>
      <c r="AR87" s="38">
        <v>590620.3</v>
      </c>
      <c r="AS87" s="38">
        <v>587683.6</v>
      </c>
      <c r="AT87" s="38">
        <v>2936.7</v>
      </c>
      <c r="BC87" s="38">
        <v>1010501.9</v>
      </c>
      <c r="BD87" s="38">
        <v>21634.6</v>
      </c>
      <c r="BF87" s="38">
        <v>1698413</v>
      </c>
      <c r="BG87" s="39">
        <f t="shared" si="2"/>
        <v>0.0445454079779182</v>
      </c>
      <c r="BH87" s="39">
        <f t="shared" si="3"/>
        <v>0.347748339184874</v>
      </c>
    </row>
    <row r="88" ht="15" spans="1:60">
      <c r="A88" s="38">
        <v>87</v>
      </c>
      <c r="B88" s="38">
        <v>57</v>
      </c>
      <c r="C88" s="38">
        <v>2013</v>
      </c>
      <c r="D88" s="38" t="s">
        <v>201</v>
      </c>
      <c r="E88" s="38" t="s">
        <v>202</v>
      </c>
      <c r="F88" s="38" t="s">
        <v>56</v>
      </c>
      <c r="G88" s="38" t="s">
        <v>57</v>
      </c>
      <c r="H88" s="38">
        <v>2027417</v>
      </c>
      <c r="I88" s="38" t="s">
        <v>58</v>
      </c>
      <c r="U88" s="38">
        <v>162556.25</v>
      </c>
      <c r="V88" s="38">
        <v>293068</v>
      </c>
      <c r="W88" s="38">
        <v>87.37</v>
      </c>
      <c r="AF88" s="38">
        <v>1760000</v>
      </c>
      <c r="AG88" s="38">
        <v>0</v>
      </c>
      <c r="AH88" s="38">
        <v>2675217</v>
      </c>
      <c r="AP88" s="38">
        <v>162556.25</v>
      </c>
      <c r="AQ88" s="38">
        <v>85455.8</v>
      </c>
      <c r="AR88" s="38">
        <v>650142.6</v>
      </c>
      <c r="AS88" s="38">
        <v>649869.4</v>
      </c>
      <c r="AT88" s="38">
        <v>273.2</v>
      </c>
      <c r="BC88" s="38">
        <v>968304.2</v>
      </c>
      <c r="BD88" s="38">
        <v>19618.3</v>
      </c>
      <c r="BF88" s="38">
        <v>1723521</v>
      </c>
      <c r="BG88" s="39">
        <f t="shared" si="2"/>
        <v>0.0495821054689789</v>
      </c>
      <c r="BH88" s="39">
        <f t="shared" si="3"/>
        <v>0.3772176840317</v>
      </c>
    </row>
    <row r="89" ht="15" spans="1:60">
      <c r="A89" s="38">
        <v>88</v>
      </c>
      <c r="B89" s="38">
        <v>57</v>
      </c>
      <c r="C89" s="38">
        <v>2014</v>
      </c>
      <c r="D89" s="38" t="s">
        <v>201</v>
      </c>
      <c r="E89" s="38" t="s">
        <v>202</v>
      </c>
      <c r="F89" s="38" t="s">
        <v>56</v>
      </c>
      <c r="G89" s="38" t="s">
        <v>57</v>
      </c>
      <c r="H89" s="38">
        <v>2419100</v>
      </c>
      <c r="I89" s="38" t="s">
        <v>58</v>
      </c>
      <c r="U89" s="38">
        <v>187953.42</v>
      </c>
      <c r="V89" s="38">
        <v>273045</v>
      </c>
      <c r="W89" s="38">
        <v>72.33</v>
      </c>
      <c r="X89" s="38">
        <v>7.79</v>
      </c>
      <c r="AF89" s="38">
        <v>1927000</v>
      </c>
      <c r="AG89" s="38">
        <v>0</v>
      </c>
      <c r="AH89" s="38">
        <v>2929040</v>
      </c>
      <c r="AP89" s="38">
        <v>187953.42</v>
      </c>
      <c r="AQ89" s="38">
        <v>98807.1</v>
      </c>
      <c r="AR89" s="38">
        <v>613666.5</v>
      </c>
      <c r="AS89" s="38">
        <v>613417.3</v>
      </c>
      <c r="AT89" s="38">
        <v>226.2</v>
      </c>
      <c r="AU89" s="38">
        <v>23</v>
      </c>
      <c r="BC89" s="38">
        <v>1055459.2</v>
      </c>
      <c r="BD89" s="38">
        <v>21479.6</v>
      </c>
      <c r="BF89" s="38">
        <v>1789412</v>
      </c>
      <c r="BG89" s="39">
        <f t="shared" si="2"/>
        <v>0.055217635737326</v>
      </c>
      <c r="BH89" s="39">
        <f t="shared" si="3"/>
        <v>0.342943100862183</v>
      </c>
    </row>
    <row r="90" ht="15" spans="1:60">
      <c r="A90" s="38">
        <v>89</v>
      </c>
      <c r="B90" s="38">
        <v>57</v>
      </c>
      <c r="C90" s="38">
        <v>2015</v>
      </c>
      <c r="D90" s="38" t="s">
        <v>201</v>
      </c>
      <c r="E90" s="38" t="s">
        <v>202</v>
      </c>
      <c r="F90" s="38" t="s">
        <v>56</v>
      </c>
      <c r="G90" s="38" t="s">
        <v>57</v>
      </c>
      <c r="H90" s="38">
        <v>2264752</v>
      </c>
      <c r="I90" s="38" t="s">
        <v>58</v>
      </c>
      <c r="U90" s="38">
        <v>127998.859</v>
      </c>
      <c r="V90" s="38">
        <v>250476</v>
      </c>
      <c r="W90" s="38">
        <v>63.21</v>
      </c>
      <c r="AF90" s="38">
        <v>1888100</v>
      </c>
      <c r="AG90" s="38">
        <v>0</v>
      </c>
      <c r="AH90" s="38">
        <v>2869912</v>
      </c>
      <c r="AP90" s="38">
        <v>127998.859</v>
      </c>
      <c r="AQ90" s="38">
        <v>67289</v>
      </c>
      <c r="AR90" s="38">
        <v>558974.1</v>
      </c>
      <c r="AS90" s="38">
        <v>558776.4</v>
      </c>
      <c r="AT90" s="38">
        <v>197.7</v>
      </c>
      <c r="BC90" s="38">
        <v>1015994.7</v>
      </c>
      <c r="BD90" s="38">
        <v>21046</v>
      </c>
      <c r="BF90" s="38">
        <v>1663304</v>
      </c>
      <c r="BG90" s="39">
        <f t="shared" si="2"/>
        <v>0.0404550220524931</v>
      </c>
      <c r="BH90" s="39">
        <f t="shared" si="3"/>
        <v>0.336062499699394</v>
      </c>
    </row>
    <row r="91" spans="1:60">
      <c r="A91" s="38">
        <v>90</v>
      </c>
      <c r="B91" s="38">
        <v>58</v>
      </c>
      <c r="C91" s="38">
        <v>2013</v>
      </c>
      <c r="D91" s="38" t="s">
        <v>203</v>
      </c>
      <c r="E91" s="38" t="s">
        <v>204</v>
      </c>
      <c r="F91" s="38" t="s">
        <v>56</v>
      </c>
      <c r="G91" s="38" t="s">
        <v>57</v>
      </c>
      <c r="H91" s="38">
        <v>190035</v>
      </c>
      <c r="I91" s="38" t="s">
        <v>58</v>
      </c>
      <c r="J91" s="38" t="s">
        <v>116</v>
      </c>
      <c r="K91" s="38" t="s">
        <v>72</v>
      </c>
      <c r="L91" s="38" t="s">
        <v>79</v>
      </c>
      <c r="M91" s="38" t="s">
        <v>70</v>
      </c>
      <c r="N91" s="38" t="s">
        <v>59</v>
      </c>
      <c r="U91" s="38">
        <v>14871.65</v>
      </c>
      <c r="W91" s="38">
        <v>50.9</v>
      </c>
      <c r="X91" s="38">
        <v>4.11</v>
      </c>
      <c r="Z91" s="38">
        <v>2.665</v>
      </c>
      <c r="AE91" s="38">
        <v>46753</v>
      </c>
      <c r="AF91" s="38">
        <v>126629</v>
      </c>
      <c r="AG91" s="38">
        <v>131.35</v>
      </c>
      <c r="AH91" s="38">
        <v>209600</v>
      </c>
      <c r="AP91" s="38">
        <v>14871.65</v>
      </c>
      <c r="AQ91" s="38">
        <v>7818.03</v>
      </c>
      <c r="AR91" s="38">
        <v>96730.86</v>
      </c>
      <c r="AT91" s="38">
        <v>150.4</v>
      </c>
      <c r="AU91" s="38">
        <v>12.85</v>
      </c>
      <c r="AW91" s="38">
        <v>8.27</v>
      </c>
      <c r="BB91" s="38">
        <v>96559.32</v>
      </c>
      <c r="BC91" s="38">
        <v>66132.69</v>
      </c>
      <c r="BD91" s="38">
        <v>768.53</v>
      </c>
      <c r="BF91" s="38">
        <v>171451.1</v>
      </c>
      <c r="BG91" s="39">
        <f t="shared" si="2"/>
        <v>0.0455991825074321</v>
      </c>
      <c r="BH91" s="39">
        <f t="shared" si="3"/>
        <v>0.56418920613516</v>
      </c>
    </row>
    <row r="92" spans="1:60">
      <c r="A92" s="38">
        <v>91</v>
      </c>
      <c r="B92" s="38">
        <v>58</v>
      </c>
      <c r="C92" s="38">
        <v>2014</v>
      </c>
      <c r="D92" s="38" t="s">
        <v>203</v>
      </c>
      <c r="E92" s="38" t="s">
        <v>204</v>
      </c>
      <c r="F92" s="38" t="s">
        <v>56</v>
      </c>
      <c r="G92" s="38" t="s">
        <v>57</v>
      </c>
      <c r="H92" s="38">
        <v>158011.8</v>
      </c>
      <c r="I92" s="38" t="s">
        <v>58</v>
      </c>
      <c r="J92" s="38" t="s">
        <v>116</v>
      </c>
      <c r="K92" s="38" t="s">
        <v>72</v>
      </c>
      <c r="L92" s="38" t="s">
        <v>79</v>
      </c>
      <c r="M92" s="38" t="s">
        <v>70</v>
      </c>
      <c r="N92" s="38" t="s">
        <v>59</v>
      </c>
      <c r="U92" s="38">
        <v>13336.03</v>
      </c>
      <c r="V92" s="38">
        <v>305</v>
      </c>
      <c r="W92" s="38">
        <v>48.86</v>
      </c>
      <c r="X92" s="38">
        <v>3.61</v>
      </c>
      <c r="Z92" s="38">
        <v>2.236</v>
      </c>
      <c r="AE92" s="38">
        <v>33888.4</v>
      </c>
      <c r="AF92" s="38">
        <v>102519.7</v>
      </c>
      <c r="AG92" s="38">
        <v>97.17</v>
      </c>
      <c r="AH92" s="38">
        <v>155909.3</v>
      </c>
      <c r="AP92" s="38">
        <v>13336.03</v>
      </c>
      <c r="AQ92" s="38">
        <v>7010.75</v>
      </c>
      <c r="AR92" s="38">
        <v>70683.81</v>
      </c>
      <c r="AS92" s="38">
        <v>531.23</v>
      </c>
      <c r="AT92" s="38">
        <v>144.38</v>
      </c>
      <c r="AU92" s="38">
        <v>11.29</v>
      </c>
      <c r="AW92" s="38">
        <v>6.94</v>
      </c>
      <c r="BB92" s="38">
        <v>69989.97</v>
      </c>
      <c r="BC92" s="38">
        <v>53189.99</v>
      </c>
      <c r="BD92" s="38">
        <v>571.67</v>
      </c>
      <c r="BF92" s="38">
        <v>131456.22</v>
      </c>
      <c r="BG92" s="39">
        <f t="shared" si="2"/>
        <v>0.0533314437308482</v>
      </c>
      <c r="BH92" s="39">
        <f t="shared" si="3"/>
        <v>0.53769848243012</v>
      </c>
    </row>
    <row r="93" spans="1:60">
      <c r="A93" s="38">
        <v>92</v>
      </c>
      <c r="B93" s="38">
        <v>58</v>
      </c>
      <c r="C93" s="38">
        <v>2015</v>
      </c>
      <c r="D93" s="38" t="s">
        <v>203</v>
      </c>
      <c r="E93" s="38" t="s">
        <v>204</v>
      </c>
      <c r="F93" s="38" t="s">
        <v>56</v>
      </c>
      <c r="G93" s="38" t="s">
        <v>57</v>
      </c>
      <c r="H93" s="38">
        <v>99015.55</v>
      </c>
      <c r="I93" s="38" t="s">
        <v>58</v>
      </c>
      <c r="J93" s="38" t="s">
        <v>116</v>
      </c>
      <c r="K93" s="38" t="s">
        <v>72</v>
      </c>
      <c r="L93" s="38" t="s">
        <v>79</v>
      </c>
      <c r="M93" s="38" t="s">
        <v>70</v>
      </c>
      <c r="N93" s="38" t="s">
        <v>59</v>
      </c>
      <c r="U93" s="38">
        <v>4902.96</v>
      </c>
      <c r="W93" s="38">
        <v>28.44</v>
      </c>
      <c r="X93" s="38">
        <v>5.8</v>
      </c>
      <c r="Z93" s="38">
        <v>1.742</v>
      </c>
      <c r="AE93" s="38">
        <v>0</v>
      </c>
      <c r="AF93" s="38" t="s">
        <v>92</v>
      </c>
      <c r="AG93" s="38" t="s">
        <v>92</v>
      </c>
      <c r="AH93" s="38" t="s">
        <v>92</v>
      </c>
      <c r="AP93" s="38">
        <v>4902.96</v>
      </c>
      <c r="AQ93" s="38">
        <v>2577.49</v>
      </c>
      <c r="AR93" s="38">
        <v>107.59</v>
      </c>
      <c r="AT93" s="38">
        <v>84.04</v>
      </c>
      <c r="AU93" s="38">
        <v>18.14</v>
      </c>
      <c r="AW93" s="38">
        <v>5.41</v>
      </c>
      <c r="BB93" s="38">
        <v>0</v>
      </c>
      <c r="BC93" s="38" t="s">
        <v>92</v>
      </c>
      <c r="BD93" s="38" t="s">
        <v>92</v>
      </c>
      <c r="BF93" s="38">
        <v>2685.07</v>
      </c>
      <c r="BG93" s="39">
        <f t="shared" si="2"/>
        <v>0.959934005444923</v>
      </c>
      <c r="BH93" s="39">
        <f t="shared" si="3"/>
        <v>0.0400697188527673</v>
      </c>
    </row>
    <row r="94" spans="1:60">
      <c r="A94" s="38">
        <v>93</v>
      </c>
      <c r="B94" s="38">
        <v>59</v>
      </c>
      <c r="C94" s="38">
        <v>2016</v>
      </c>
      <c r="D94" s="38" t="s">
        <v>205</v>
      </c>
      <c r="E94" s="38" t="s">
        <v>206</v>
      </c>
      <c r="F94" s="38" t="s">
        <v>56</v>
      </c>
      <c r="G94" s="38" t="s">
        <v>57</v>
      </c>
      <c r="H94" s="38">
        <v>3073162</v>
      </c>
      <c r="I94" s="38" t="s">
        <v>58</v>
      </c>
      <c r="J94" s="38" t="s">
        <v>116</v>
      </c>
      <c r="K94" s="38" t="s">
        <v>72</v>
      </c>
      <c r="L94" s="38" t="s">
        <v>79</v>
      </c>
      <c r="M94" s="38" t="s">
        <v>70</v>
      </c>
      <c r="N94" s="38" t="s">
        <v>59</v>
      </c>
      <c r="O94" s="38" t="s">
        <v>192</v>
      </c>
      <c r="P94" s="38" t="s">
        <v>173</v>
      </c>
      <c r="Q94" s="38" t="s">
        <v>129</v>
      </c>
      <c r="U94" s="38">
        <v>258351.24</v>
      </c>
      <c r="V94" s="38">
        <v>278090.52</v>
      </c>
      <c r="W94" s="38">
        <v>964.55</v>
      </c>
      <c r="AF94" s="38">
        <v>1999438.45</v>
      </c>
      <c r="AG94" s="38">
        <v>0</v>
      </c>
      <c r="AH94" s="38">
        <v>2902797.91</v>
      </c>
      <c r="AP94" s="38">
        <v>258351.24</v>
      </c>
      <c r="AQ94" s="38">
        <v>135815.25</v>
      </c>
      <c r="AR94" s="38">
        <v>514986.21</v>
      </c>
      <c r="AS94" s="38">
        <v>511969.58</v>
      </c>
      <c r="AT94" s="38">
        <v>3016.63</v>
      </c>
      <c r="BC94" s="38">
        <v>1066589.18</v>
      </c>
      <c r="BD94" s="38">
        <v>10643.59</v>
      </c>
      <c r="BF94" s="38">
        <v>1728034.23</v>
      </c>
      <c r="BG94" s="39">
        <f t="shared" si="2"/>
        <v>0.0785952312993244</v>
      </c>
      <c r="BH94" s="39">
        <f t="shared" si="3"/>
        <v>0.298018523626121</v>
      </c>
    </row>
    <row r="95" spans="1:60">
      <c r="A95" s="38">
        <v>94</v>
      </c>
      <c r="B95" s="38">
        <v>60</v>
      </c>
      <c r="C95" s="38">
        <v>2016</v>
      </c>
      <c r="D95" s="38" t="s">
        <v>152</v>
      </c>
      <c r="E95" s="38" t="s">
        <v>207</v>
      </c>
      <c r="F95" s="38" t="s">
        <v>56</v>
      </c>
      <c r="G95" s="38" t="s">
        <v>57</v>
      </c>
      <c r="H95" s="38">
        <v>1767436</v>
      </c>
      <c r="I95" s="38" t="s">
        <v>58</v>
      </c>
      <c r="J95" s="38" t="s">
        <v>208</v>
      </c>
      <c r="K95" s="38" t="s">
        <v>64</v>
      </c>
      <c r="L95" s="38" t="s">
        <v>153</v>
      </c>
      <c r="M95" s="38" t="s">
        <v>70</v>
      </c>
      <c r="U95" s="38">
        <v>67216.652</v>
      </c>
      <c r="AP95" s="38">
        <v>67216.652</v>
      </c>
      <c r="AQ95" s="38">
        <v>35336</v>
      </c>
      <c r="BF95" s="38">
        <v>35336</v>
      </c>
      <c r="BG95" s="39">
        <f t="shared" si="2"/>
        <v>1</v>
      </c>
      <c r="BH95" s="39">
        <f t="shared" si="3"/>
        <v>0</v>
      </c>
    </row>
    <row r="96" ht="15" spans="1:60">
      <c r="A96" s="38">
        <v>95</v>
      </c>
      <c r="B96" s="38">
        <v>61</v>
      </c>
      <c r="C96" s="38">
        <v>2016</v>
      </c>
      <c r="D96" s="38" t="s">
        <v>209</v>
      </c>
      <c r="E96" s="38" t="s">
        <v>210</v>
      </c>
      <c r="F96" s="38" t="s">
        <v>56</v>
      </c>
      <c r="G96" s="38" t="s">
        <v>57</v>
      </c>
      <c r="H96" s="38" t="s">
        <v>92</v>
      </c>
      <c r="I96" s="38" t="s">
        <v>58</v>
      </c>
      <c r="J96" s="38" t="s">
        <v>208</v>
      </c>
      <c r="K96" s="38" t="s">
        <v>116</v>
      </c>
      <c r="L96" s="38" t="s">
        <v>64</v>
      </c>
      <c r="M96" s="38" t="s">
        <v>70</v>
      </c>
      <c r="N96" s="38" t="s">
        <v>59</v>
      </c>
      <c r="O96" s="38" t="s">
        <v>173</v>
      </c>
      <c r="P96" s="38" t="s">
        <v>192</v>
      </c>
      <c r="Q96" s="38" t="s">
        <v>129</v>
      </c>
      <c r="U96" s="38">
        <v>82784.978</v>
      </c>
      <c r="V96" s="38">
        <v>118854.17</v>
      </c>
      <c r="W96" s="38">
        <v>449.5</v>
      </c>
      <c r="AF96" s="38">
        <v>817333.72</v>
      </c>
      <c r="AG96" s="38">
        <v>6.87</v>
      </c>
      <c r="AH96" s="38">
        <v>1305469.68</v>
      </c>
      <c r="AP96" s="38">
        <v>82784.978</v>
      </c>
      <c r="AQ96" s="38">
        <v>43520.06</v>
      </c>
      <c r="AR96" s="38">
        <v>220218</v>
      </c>
      <c r="AS96" s="38">
        <v>218812.64</v>
      </c>
      <c r="AT96" s="38">
        <v>1405.81</v>
      </c>
      <c r="BC96" s="38">
        <v>411750.5</v>
      </c>
      <c r="BD96" s="38">
        <v>4786.72</v>
      </c>
      <c r="BF96" s="38">
        <v>680276</v>
      </c>
      <c r="BG96" s="39">
        <f t="shared" si="2"/>
        <v>0.0639741222680206</v>
      </c>
      <c r="BH96" s="39">
        <f t="shared" si="3"/>
        <v>0.32371860832956</v>
      </c>
    </row>
    <row r="97" spans="1:60">
      <c r="A97" s="38">
        <v>96</v>
      </c>
      <c r="B97" s="38">
        <v>62</v>
      </c>
      <c r="C97" s="38">
        <v>2016</v>
      </c>
      <c r="D97" s="38" t="s">
        <v>211</v>
      </c>
      <c r="E97" s="38" t="s">
        <v>212</v>
      </c>
      <c r="F97" s="38" t="s">
        <v>56</v>
      </c>
      <c r="G97" s="38" t="s">
        <v>57</v>
      </c>
      <c r="H97" s="38" t="s">
        <v>92</v>
      </c>
      <c r="I97" s="38" t="s">
        <v>58</v>
      </c>
      <c r="J97" s="38" t="s">
        <v>72</v>
      </c>
      <c r="K97" s="38" t="s">
        <v>116</v>
      </c>
      <c r="L97" s="38" t="s">
        <v>64</v>
      </c>
      <c r="M97" s="38" t="s">
        <v>70</v>
      </c>
      <c r="N97" s="38" t="s">
        <v>59</v>
      </c>
      <c r="O97" s="38" t="s">
        <v>173</v>
      </c>
      <c r="P97" s="38" t="s">
        <v>192</v>
      </c>
      <c r="U97" s="38">
        <v>52269.217</v>
      </c>
      <c r="V97" s="38">
        <v>100386</v>
      </c>
      <c r="W97" s="38">
        <v>130.74</v>
      </c>
      <c r="AF97" s="38">
        <v>704397</v>
      </c>
      <c r="AG97" s="38">
        <v>0</v>
      </c>
      <c r="AH97" s="38">
        <v>1070683.44</v>
      </c>
      <c r="AP97" s="38">
        <v>52269.217</v>
      </c>
      <c r="AQ97" s="38">
        <v>27477.93</v>
      </c>
      <c r="AR97" s="38">
        <v>185221.3</v>
      </c>
      <c r="AS97" s="38">
        <v>184812.41</v>
      </c>
      <c r="AT97" s="38" t="s">
        <v>213</v>
      </c>
      <c r="BC97" s="38">
        <v>367947.81</v>
      </c>
      <c r="BD97" s="38">
        <v>11777.52</v>
      </c>
      <c r="BF97" s="38">
        <v>592425</v>
      </c>
      <c r="BG97" s="39">
        <f t="shared" si="2"/>
        <v>0.0463821243195341</v>
      </c>
      <c r="BH97" s="39">
        <f t="shared" si="3"/>
        <v>0.31264936489851</v>
      </c>
    </row>
    <row r="98" ht="16.5" spans="1:60">
      <c r="A98" s="38">
        <v>97</v>
      </c>
      <c r="B98" s="38">
        <v>63</v>
      </c>
      <c r="C98" s="38">
        <v>2016</v>
      </c>
      <c r="D98" s="38" t="s">
        <v>214</v>
      </c>
      <c r="E98" s="38" t="s">
        <v>215</v>
      </c>
      <c r="F98" s="38" t="s">
        <v>56</v>
      </c>
      <c r="G98" s="38" t="s">
        <v>57</v>
      </c>
      <c r="H98" s="38" t="s">
        <v>92</v>
      </c>
      <c r="I98" s="38" t="s">
        <v>58</v>
      </c>
      <c r="J98" s="38" t="s">
        <v>72</v>
      </c>
      <c r="K98" s="38" t="s">
        <v>116</v>
      </c>
      <c r="L98" s="38" t="s">
        <v>64</v>
      </c>
      <c r="M98" s="38" t="s">
        <v>70</v>
      </c>
      <c r="N98" s="38" t="s">
        <v>59</v>
      </c>
      <c r="O98" s="38" t="s">
        <v>173</v>
      </c>
      <c r="P98" s="38" t="s">
        <v>192</v>
      </c>
      <c r="U98" s="38">
        <v>129060.54</v>
      </c>
      <c r="V98" s="38">
        <v>201528.26</v>
      </c>
      <c r="W98" s="38">
        <v>330.86</v>
      </c>
      <c r="AF98" s="38">
        <v>1661273</v>
      </c>
      <c r="AG98" s="38">
        <v>0</v>
      </c>
      <c r="AH98" s="38">
        <v>2574972.91</v>
      </c>
      <c r="AP98" s="38">
        <v>129060.54</v>
      </c>
      <c r="AQ98" s="38">
        <v>67847.12</v>
      </c>
      <c r="AR98" s="38">
        <v>372051.85</v>
      </c>
      <c r="AS98" s="38">
        <v>371017.1</v>
      </c>
      <c r="AT98" s="38">
        <v>1034.35</v>
      </c>
      <c r="BC98" s="38">
        <v>872531.3</v>
      </c>
      <c r="BD98" s="38">
        <v>9441.57</v>
      </c>
      <c r="BF98" s="38">
        <v>1321871.84</v>
      </c>
      <c r="BG98" s="39">
        <f t="shared" si="2"/>
        <v>0.0513265491759019</v>
      </c>
      <c r="BH98" s="39">
        <f t="shared" si="3"/>
        <v>0.281458337141065</v>
      </c>
    </row>
    <row r="99" spans="1:60">
      <c r="A99" s="38">
        <v>98</v>
      </c>
      <c r="B99" s="38">
        <v>64</v>
      </c>
      <c r="C99" s="38">
        <v>2016</v>
      </c>
      <c r="D99" s="38" t="s">
        <v>216</v>
      </c>
      <c r="E99" s="38" t="s">
        <v>217</v>
      </c>
      <c r="F99" s="38" t="s">
        <v>56</v>
      </c>
      <c r="G99" s="38" t="s">
        <v>57</v>
      </c>
      <c r="H99" s="38">
        <v>1138344</v>
      </c>
      <c r="I99" s="38" t="s">
        <v>58</v>
      </c>
      <c r="J99" s="38" t="s">
        <v>72</v>
      </c>
      <c r="K99" s="38" t="s">
        <v>116</v>
      </c>
      <c r="L99" s="38" t="s">
        <v>64</v>
      </c>
      <c r="M99" s="38" t="s">
        <v>70</v>
      </c>
      <c r="N99" s="38" t="s">
        <v>59</v>
      </c>
      <c r="O99" s="38" t="s">
        <v>173</v>
      </c>
      <c r="P99" s="38" t="s">
        <v>192</v>
      </c>
      <c r="U99" s="38">
        <v>68822.138</v>
      </c>
      <c r="V99" s="38">
        <v>138711.79</v>
      </c>
      <c r="W99" s="38">
        <v>105.076</v>
      </c>
      <c r="AF99" s="38">
        <v>1000108</v>
      </c>
      <c r="AG99" s="38">
        <v>3.27</v>
      </c>
      <c r="AH99" s="38">
        <v>1550166.8</v>
      </c>
      <c r="AP99" s="38">
        <v>68822.138</v>
      </c>
      <c r="AQ99" s="38">
        <v>36179.8</v>
      </c>
      <c r="AR99" s="38">
        <v>255699.49</v>
      </c>
      <c r="AS99" s="38">
        <v>255370.86</v>
      </c>
      <c r="AT99" s="38">
        <v>328.63</v>
      </c>
      <c r="BC99" s="38">
        <v>527209.88</v>
      </c>
      <c r="BD99" s="38">
        <v>5683.94</v>
      </c>
      <c r="BF99" s="38">
        <v>824773</v>
      </c>
      <c r="BG99" s="39">
        <f t="shared" si="2"/>
        <v>0.0438663729292787</v>
      </c>
      <c r="BH99" s="39">
        <f t="shared" si="3"/>
        <v>0.310024079352743</v>
      </c>
    </row>
    <row r="100" ht="15.5" spans="1:60">
      <c r="A100" s="38">
        <v>99</v>
      </c>
      <c r="B100" s="38">
        <v>65</v>
      </c>
      <c r="C100" s="38">
        <v>2016</v>
      </c>
      <c r="D100" s="38" t="s">
        <v>218</v>
      </c>
      <c r="E100" s="38" t="s">
        <v>219</v>
      </c>
      <c r="F100" s="38" t="s">
        <v>56</v>
      </c>
      <c r="G100" s="38" t="s">
        <v>57</v>
      </c>
      <c r="H100" s="38" t="s">
        <v>92</v>
      </c>
      <c r="I100" s="38" t="s">
        <v>58</v>
      </c>
      <c r="J100" s="38" t="s">
        <v>72</v>
      </c>
      <c r="K100" s="38" t="s">
        <v>116</v>
      </c>
      <c r="L100" s="38" t="s">
        <v>64</v>
      </c>
      <c r="M100" s="38" t="s">
        <v>70</v>
      </c>
      <c r="N100" s="38" t="s">
        <v>59</v>
      </c>
      <c r="O100" s="38" t="s">
        <v>173</v>
      </c>
      <c r="P100" s="38" t="s">
        <v>192</v>
      </c>
      <c r="U100" s="38">
        <v>170862.081</v>
      </c>
      <c r="V100" s="38">
        <v>255227.61</v>
      </c>
      <c r="W100" s="38">
        <v>854.84</v>
      </c>
      <c r="AF100" s="38">
        <v>1873792.7</v>
      </c>
      <c r="AG100" s="38">
        <v>81.06</v>
      </c>
      <c r="AH100" s="38">
        <v>2904378.85</v>
      </c>
      <c r="AP100" s="38">
        <v>170862.081</v>
      </c>
      <c r="AQ100" s="38">
        <v>89822.2</v>
      </c>
      <c r="AR100" s="38">
        <v>472552.07</v>
      </c>
      <c r="AS100" s="38">
        <v>469878.56</v>
      </c>
      <c r="AT100" s="38">
        <v>2673.51</v>
      </c>
      <c r="BC100" s="38">
        <v>932455.64</v>
      </c>
      <c r="BD100" s="38">
        <v>10649.39</v>
      </c>
      <c r="BF100" s="38">
        <v>1505479</v>
      </c>
      <c r="BG100" s="39">
        <f t="shared" si="2"/>
        <v>0.0596635356587505</v>
      </c>
      <c r="BH100" s="39">
        <f t="shared" si="3"/>
        <v>0.313888184425024</v>
      </c>
    </row>
    <row r="101" ht="15" spans="1:60">
      <c r="A101" s="38">
        <v>100</v>
      </c>
      <c r="B101" s="38">
        <v>66</v>
      </c>
      <c r="C101" s="38">
        <v>2016</v>
      </c>
      <c r="D101" s="38" t="s">
        <v>220</v>
      </c>
      <c r="E101" s="38" t="s">
        <v>221</v>
      </c>
      <c r="F101" s="38" t="s">
        <v>56</v>
      </c>
      <c r="G101" s="38" t="s">
        <v>57</v>
      </c>
      <c r="H101" s="38" t="s">
        <v>92</v>
      </c>
      <c r="I101" s="38" t="s">
        <v>58</v>
      </c>
      <c r="J101" s="38" t="s">
        <v>72</v>
      </c>
      <c r="K101" s="38" t="s">
        <v>116</v>
      </c>
      <c r="L101" s="38" t="s">
        <v>64</v>
      </c>
      <c r="M101" s="38" t="s">
        <v>70</v>
      </c>
      <c r="N101" s="38" t="s">
        <v>59</v>
      </c>
      <c r="O101" s="38" t="s">
        <v>173</v>
      </c>
      <c r="P101" s="38" t="s">
        <v>192</v>
      </c>
      <c r="Q101" s="38" t="s">
        <v>129</v>
      </c>
      <c r="U101" s="38">
        <v>187732.543</v>
      </c>
      <c r="V101" s="38">
        <v>370964</v>
      </c>
      <c r="W101" s="38">
        <v>406.13</v>
      </c>
      <c r="AF101" s="38">
        <v>2760144</v>
      </c>
      <c r="AG101" s="38">
        <v>0</v>
      </c>
      <c r="AH101" s="38">
        <v>4195417</v>
      </c>
      <c r="AP101" s="38">
        <v>187732.543</v>
      </c>
      <c r="AQ101" s="38">
        <v>98691</v>
      </c>
      <c r="AR101" s="38">
        <v>684221</v>
      </c>
      <c r="AS101" s="38">
        <v>682951.3</v>
      </c>
      <c r="AT101" s="38">
        <v>1270.17</v>
      </c>
      <c r="BC101" s="38">
        <v>1445514</v>
      </c>
      <c r="BD101" s="38">
        <v>46150</v>
      </c>
      <c r="BF101" s="38">
        <v>2274576</v>
      </c>
      <c r="BG101" s="39">
        <f t="shared" si="2"/>
        <v>0.0433887458585688</v>
      </c>
      <c r="BH101" s="39">
        <f t="shared" si="3"/>
        <v>0.300812547041734</v>
      </c>
    </row>
    <row r="102" ht="15.5" spans="1:60">
      <c r="A102" s="38">
        <v>101</v>
      </c>
      <c r="B102" s="38">
        <v>67</v>
      </c>
      <c r="C102" s="38">
        <v>2013</v>
      </c>
      <c r="D102" s="38" t="s">
        <v>222</v>
      </c>
      <c r="E102" s="38" t="s">
        <v>223</v>
      </c>
      <c r="F102" s="38" t="s">
        <v>56</v>
      </c>
      <c r="G102" s="38" t="s">
        <v>57</v>
      </c>
      <c r="H102" s="38">
        <v>2376828</v>
      </c>
      <c r="I102" s="38" t="s">
        <v>58</v>
      </c>
      <c r="U102" s="38">
        <v>137435.61</v>
      </c>
      <c r="V102" s="38">
        <v>226617.94</v>
      </c>
      <c r="W102" s="38">
        <v>1253.56896</v>
      </c>
      <c r="AF102" s="38">
        <v>1767915</v>
      </c>
      <c r="AG102" s="38">
        <v>0</v>
      </c>
      <c r="AH102" s="38">
        <v>2651925</v>
      </c>
      <c r="AP102" s="38">
        <v>137435.61</v>
      </c>
      <c r="AQ102" s="38">
        <v>72249.9</v>
      </c>
      <c r="AR102" s="38">
        <v>508935</v>
      </c>
      <c r="AS102" s="38">
        <v>505014.5</v>
      </c>
      <c r="AT102" s="38">
        <v>3920.5</v>
      </c>
      <c r="BC102" s="38">
        <v>950822.6</v>
      </c>
      <c r="BD102" s="38">
        <v>19447.5</v>
      </c>
      <c r="BF102" s="38">
        <v>1551455</v>
      </c>
      <c r="BG102" s="39">
        <f t="shared" si="2"/>
        <v>0.0465691238224763</v>
      </c>
      <c r="BH102" s="39">
        <f t="shared" si="3"/>
        <v>0.328037229568373</v>
      </c>
    </row>
    <row r="103" ht="15.5" spans="1:60">
      <c r="A103" s="38">
        <v>102</v>
      </c>
      <c r="B103" s="38">
        <v>67</v>
      </c>
      <c r="C103" s="38">
        <v>2014</v>
      </c>
      <c r="D103" s="38" t="s">
        <v>222</v>
      </c>
      <c r="E103" s="38" t="s">
        <v>224</v>
      </c>
      <c r="F103" s="38" t="s">
        <v>56</v>
      </c>
      <c r="G103" s="38" t="s">
        <v>57</v>
      </c>
      <c r="H103" s="38">
        <v>2241303</v>
      </c>
      <c r="I103" s="38" t="s">
        <v>58</v>
      </c>
      <c r="U103" s="38">
        <v>153747</v>
      </c>
      <c r="V103" s="38">
        <v>245699.6</v>
      </c>
      <c r="W103" s="38">
        <v>1421.82432</v>
      </c>
      <c r="AF103" s="38">
        <v>1787467</v>
      </c>
      <c r="AG103" s="38">
        <v>0</v>
      </c>
      <c r="AH103" s="38">
        <v>2679819</v>
      </c>
      <c r="AP103" s="38">
        <v>153747</v>
      </c>
      <c r="AQ103" s="38">
        <v>80824.8</v>
      </c>
      <c r="AR103" s="38">
        <v>553222.5</v>
      </c>
      <c r="AS103" s="38">
        <v>548775.8</v>
      </c>
      <c r="AT103" s="38">
        <v>4446.8</v>
      </c>
      <c r="BC103" s="38">
        <v>958922.4</v>
      </c>
      <c r="BD103" s="38">
        <v>19652</v>
      </c>
      <c r="BF103" s="38">
        <v>1612622</v>
      </c>
      <c r="BG103" s="39">
        <f t="shared" si="2"/>
        <v>0.0501201149432415</v>
      </c>
      <c r="BH103" s="39">
        <f t="shared" si="3"/>
        <v>0.343057765552002</v>
      </c>
    </row>
    <row r="104" ht="15.5" spans="1:60">
      <c r="A104" s="38">
        <v>103</v>
      </c>
      <c r="B104" s="38">
        <v>67</v>
      </c>
      <c r="C104" s="38">
        <v>2015</v>
      </c>
      <c r="D104" s="38" t="s">
        <v>222</v>
      </c>
      <c r="E104" s="38" t="s">
        <v>225</v>
      </c>
      <c r="F104" s="38" t="s">
        <v>56</v>
      </c>
      <c r="G104" s="38" t="s">
        <v>57</v>
      </c>
      <c r="H104" s="38">
        <v>2111762</v>
      </c>
      <c r="I104" s="38" t="s">
        <v>58</v>
      </c>
      <c r="U104" s="38">
        <v>139803.072</v>
      </c>
      <c r="V104" s="38">
        <v>226292</v>
      </c>
      <c r="W104" s="38">
        <v>1238.97648</v>
      </c>
      <c r="AF104" s="38">
        <v>1742890</v>
      </c>
      <c r="AG104" s="38">
        <v>0</v>
      </c>
      <c r="AH104" s="38">
        <v>2605283</v>
      </c>
      <c r="AP104" s="38">
        <v>139803.072</v>
      </c>
      <c r="AQ104" s="38">
        <v>73494.5</v>
      </c>
      <c r="AR104" s="38">
        <v>506471.7</v>
      </c>
      <c r="AS104" s="38">
        <v>502596.8</v>
      </c>
      <c r="AT104" s="38">
        <v>3874.9</v>
      </c>
      <c r="BC104" s="38">
        <v>948291.5</v>
      </c>
      <c r="BD104" s="38">
        <v>19105.4</v>
      </c>
      <c r="BF104" s="38">
        <v>1547363</v>
      </c>
      <c r="BG104" s="39">
        <f t="shared" si="2"/>
        <v>0.0474966119779263</v>
      </c>
      <c r="BH104" s="39">
        <f t="shared" si="3"/>
        <v>0.327312789565215</v>
      </c>
    </row>
    <row r="105" ht="15" spans="1:60">
      <c r="A105" s="38">
        <v>104</v>
      </c>
      <c r="B105" s="38">
        <v>68</v>
      </c>
      <c r="C105" s="38">
        <v>2013</v>
      </c>
      <c r="D105" s="38" t="s">
        <v>226</v>
      </c>
      <c r="E105" s="38" t="s">
        <v>227</v>
      </c>
      <c r="F105" s="38" t="s">
        <v>56</v>
      </c>
      <c r="G105" s="38" t="s">
        <v>57</v>
      </c>
      <c r="H105" s="38">
        <v>2376836</v>
      </c>
      <c r="I105" s="38" t="s">
        <v>58</v>
      </c>
      <c r="U105" s="38">
        <v>308020.417</v>
      </c>
      <c r="V105" s="38">
        <v>512222</v>
      </c>
      <c r="W105" s="38">
        <v>1596.586</v>
      </c>
      <c r="AF105" s="38">
        <v>3734816</v>
      </c>
      <c r="AG105" s="38">
        <v>161.2304</v>
      </c>
      <c r="AH105" s="38">
        <v>5726818</v>
      </c>
      <c r="AP105" s="38">
        <v>308020.417</v>
      </c>
      <c r="AQ105" s="38">
        <v>161926.3</v>
      </c>
      <c r="AR105" s="38">
        <v>1160649.2</v>
      </c>
      <c r="AS105" s="38">
        <v>505014.5</v>
      </c>
      <c r="AT105" s="38">
        <v>4993.3</v>
      </c>
      <c r="BC105" s="38">
        <v>2004081.6</v>
      </c>
      <c r="BD105" s="38">
        <v>41996.7</v>
      </c>
      <c r="BF105" s="38">
        <v>3368654</v>
      </c>
      <c r="BG105" s="39">
        <f t="shared" si="2"/>
        <v>0.0480685460721107</v>
      </c>
      <c r="BH105" s="39">
        <f t="shared" si="3"/>
        <v>0.344543903885647</v>
      </c>
    </row>
    <row r="106" ht="15" spans="1:60">
      <c r="A106" s="38">
        <v>105</v>
      </c>
      <c r="B106" s="38">
        <v>68</v>
      </c>
      <c r="C106" s="38">
        <v>2014</v>
      </c>
      <c r="D106" s="38" t="s">
        <v>226</v>
      </c>
      <c r="E106" s="38" t="s">
        <v>228</v>
      </c>
      <c r="F106" s="38" t="s">
        <v>56</v>
      </c>
      <c r="G106" s="38" t="s">
        <v>57</v>
      </c>
      <c r="H106" s="38">
        <v>2289801.25</v>
      </c>
      <c r="I106" s="38" t="s">
        <v>58</v>
      </c>
      <c r="U106" s="38">
        <v>260389.776</v>
      </c>
      <c r="V106" s="38">
        <v>487246</v>
      </c>
      <c r="W106" s="38">
        <v>1734.389</v>
      </c>
      <c r="AF106" s="38">
        <v>3529387.96</v>
      </c>
      <c r="AG106" s="38">
        <v>111.9713</v>
      </c>
      <c r="AH106" s="38">
        <v>5379754.39</v>
      </c>
      <c r="AP106" s="38">
        <v>260389.776</v>
      </c>
      <c r="AQ106" s="38">
        <v>136886.9</v>
      </c>
      <c r="AR106" s="38">
        <v>1093699.6</v>
      </c>
      <c r="AS106" s="38">
        <v>1088275.3</v>
      </c>
      <c r="AT106" s="38">
        <v>5424.3</v>
      </c>
      <c r="BC106" s="38">
        <v>1859882.5</v>
      </c>
      <c r="BD106" s="38">
        <v>39451.5</v>
      </c>
      <c r="BF106" s="38">
        <v>3129921</v>
      </c>
      <c r="BG106" s="39">
        <f t="shared" si="2"/>
        <v>0.0437349377188753</v>
      </c>
      <c r="BH106" s="39">
        <f t="shared" si="3"/>
        <v>0.349433611902665</v>
      </c>
    </row>
    <row r="107" ht="15" spans="1:60">
      <c r="A107" s="38">
        <v>106</v>
      </c>
      <c r="B107" s="38">
        <v>68</v>
      </c>
      <c r="C107" s="38">
        <v>2015</v>
      </c>
      <c r="D107" s="38" t="s">
        <v>226</v>
      </c>
      <c r="E107" s="38" t="s">
        <v>229</v>
      </c>
      <c r="F107" s="38" t="s">
        <v>56</v>
      </c>
      <c r="G107" s="38" t="s">
        <v>57</v>
      </c>
      <c r="H107" s="38">
        <v>2349337</v>
      </c>
      <c r="I107" s="38" t="s">
        <v>58</v>
      </c>
      <c r="U107" s="38">
        <v>250643.8528</v>
      </c>
      <c r="V107" s="38">
        <v>274500</v>
      </c>
      <c r="W107" s="38">
        <v>1393.6843</v>
      </c>
      <c r="AF107" s="38">
        <v>3248442.38</v>
      </c>
      <c r="AG107" s="38">
        <v>106.9498</v>
      </c>
      <c r="AH107" s="38">
        <v>4994118.97</v>
      </c>
      <c r="AP107" s="38">
        <v>250643.8528</v>
      </c>
      <c r="AQ107" s="38">
        <v>131763.5</v>
      </c>
      <c r="AR107" s="38">
        <v>990979.5</v>
      </c>
      <c r="AS107" s="38">
        <v>986620.8</v>
      </c>
      <c r="AT107" s="38">
        <v>4358.7</v>
      </c>
      <c r="BC107" s="38">
        <v>1726422.1</v>
      </c>
      <c r="BD107" s="38">
        <v>36623.5</v>
      </c>
      <c r="BF107" s="38">
        <v>2885789</v>
      </c>
      <c r="BG107" s="39">
        <f t="shared" si="2"/>
        <v>0.0456594366393385</v>
      </c>
      <c r="BH107" s="39">
        <f t="shared" si="3"/>
        <v>0.343399846627733</v>
      </c>
    </row>
    <row r="108" spans="1:60">
      <c r="A108" s="38">
        <v>107</v>
      </c>
      <c r="B108" s="38">
        <v>69</v>
      </c>
      <c r="C108" s="38">
        <v>2013</v>
      </c>
      <c r="D108" s="38" t="s">
        <v>143</v>
      </c>
      <c r="E108" s="38" t="s">
        <v>144</v>
      </c>
      <c r="F108" s="38" t="s">
        <v>56</v>
      </c>
      <c r="G108" s="38" t="s">
        <v>57</v>
      </c>
      <c r="H108" s="38" t="s">
        <v>92</v>
      </c>
      <c r="I108" s="38" t="s">
        <v>58</v>
      </c>
      <c r="J108" s="38" t="s">
        <v>72</v>
      </c>
      <c r="K108" s="38" t="s">
        <v>70</v>
      </c>
      <c r="L108" s="38" t="s">
        <v>118</v>
      </c>
      <c r="M108" s="38" t="s">
        <v>59</v>
      </c>
      <c r="N108" s="38" t="s">
        <v>173</v>
      </c>
      <c r="U108" s="38">
        <v>300739.82</v>
      </c>
      <c r="V108" s="38">
        <v>517823.54</v>
      </c>
      <c r="W108" s="38">
        <v>312.57</v>
      </c>
      <c r="AF108" s="38">
        <v>3081917.67</v>
      </c>
      <c r="AG108" s="38">
        <v>0</v>
      </c>
      <c r="AH108" s="38">
        <v>4692762</v>
      </c>
      <c r="AP108" s="38">
        <v>300739.82</v>
      </c>
      <c r="AQ108" s="38">
        <v>158098.92</v>
      </c>
      <c r="AR108" s="38">
        <v>1045382.13</v>
      </c>
      <c r="AS108" s="38">
        <v>1044404.57</v>
      </c>
      <c r="AT108" s="38">
        <v>977.56</v>
      </c>
      <c r="BC108" s="38">
        <v>1561724.67</v>
      </c>
      <c r="BD108" s="38">
        <v>17206.79</v>
      </c>
      <c r="BF108" s="38">
        <v>2782413</v>
      </c>
      <c r="BG108" s="39">
        <f t="shared" si="2"/>
        <v>0.0568207954750068</v>
      </c>
      <c r="BH108" s="39">
        <f t="shared" si="3"/>
        <v>0.375710625992619</v>
      </c>
    </row>
    <row r="109" spans="1:60">
      <c r="A109" s="38">
        <v>108</v>
      </c>
      <c r="B109" s="38">
        <v>69</v>
      </c>
      <c r="C109" s="38">
        <v>2014</v>
      </c>
      <c r="D109" s="38" t="s">
        <v>143</v>
      </c>
      <c r="E109" s="38" t="s">
        <v>144</v>
      </c>
      <c r="F109" s="38" t="s">
        <v>56</v>
      </c>
      <c r="G109" s="38" t="s">
        <v>57</v>
      </c>
      <c r="H109" s="38" t="s">
        <v>92</v>
      </c>
      <c r="I109" s="38" t="s">
        <v>58</v>
      </c>
      <c r="J109" s="38" t="s">
        <v>72</v>
      </c>
      <c r="K109" s="38" t="s">
        <v>70</v>
      </c>
      <c r="L109" s="38" t="s">
        <v>118</v>
      </c>
      <c r="M109" s="38" t="s">
        <v>59</v>
      </c>
      <c r="N109" s="38" t="s">
        <v>173</v>
      </c>
      <c r="U109" s="38">
        <v>324614.75</v>
      </c>
      <c r="V109" s="38">
        <v>650894</v>
      </c>
      <c r="W109" s="38">
        <v>372.14</v>
      </c>
      <c r="AF109" s="38">
        <v>3962748</v>
      </c>
      <c r="AG109" s="38">
        <v>0</v>
      </c>
      <c r="AH109" s="38">
        <v>6028816</v>
      </c>
      <c r="AP109" s="38">
        <v>324614.75</v>
      </c>
      <c r="AQ109" s="38">
        <v>170649.97</v>
      </c>
      <c r="AR109" s="38">
        <v>1350529.04</v>
      </c>
      <c r="AS109" s="38">
        <v>1349365.18</v>
      </c>
      <c r="AT109" s="38">
        <v>1163.87</v>
      </c>
      <c r="BC109" s="38">
        <v>2016271.69</v>
      </c>
      <c r="BD109" s="38">
        <v>22105.66</v>
      </c>
      <c r="BF109" s="38">
        <v>3559556</v>
      </c>
      <c r="BG109" s="39">
        <f t="shared" si="2"/>
        <v>0.0479413640352898</v>
      </c>
      <c r="BH109" s="39">
        <f t="shared" si="3"/>
        <v>0.37940940948815</v>
      </c>
    </row>
    <row r="110" spans="1:60">
      <c r="A110" s="38">
        <v>109</v>
      </c>
      <c r="B110" s="38">
        <v>69</v>
      </c>
      <c r="C110" s="38">
        <v>2015</v>
      </c>
      <c r="D110" s="38" t="s">
        <v>143</v>
      </c>
      <c r="E110" s="38" t="s">
        <v>144</v>
      </c>
      <c r="F110" s="38" t="s">
        <v>56</v>
      </c>
      <c r="G110" s="38" t="s">
        <v>57</v>
      </c>
      <c r="H110" s="38" t="s">
        <v>92</v>
      </c>
      <c r="I110" s="38" t="s">
        <v>58</v>
      </c>
      <c r="J110" s="38" t="s">
        <v>72</v>
      </c>
      <c r="K110" s="38" t="s">
        <v>70</v>
      </c>
      <c r="L110" s="38" t="s">
        <v>118</v>
      </c>
      <c r="M110" s="38" t="s">
        <v>59</v>
      </c>
      <c r="N110" s="38" t="s">
        <v>173</v>
      </c>
      <c r="U110" s="38">
        <v>282311.67</v>
      </c>
      <c r="V110" s="38">
        <v>523283.12</v>
      </c>
      <c r="W110" s="38">
        <v>397.04</v>
      </c>
      <c r="AF110" s="38">
        <v>3415685.09</v>
      </c>
      <c r="AG110" s="38">
        <v>0</v>
      </c>
      <c r="AH110" s="38">
        <v>5179264.01</v>
      </c>
      <c r="AP110" s="38">
        <v>282311.67</v>
      </c>
      <c r="AQ110" s="38">
        <v>148411.25</v>
      </c>
      <c r="AR110" s="38">
        <v>1061913.57</v>
      </c>
      <c r="AS110" s="38">
        <v>1060671.82</v>
      </c>
      <c r="AT110" s="38">
        <v>1241.74</v>
      </c>
      <c r="BC110" s="38">
        <v>1738607.97</v>
      </c>
      <c r="BD110" s="38">
        <v>18990.63</v>
      </c>
      <c r="BF110" s="38">
        <v>2967923</v>
      </c>
      <c r="BG110" s="39">
        <f t="shared" si="2"/>
        <v>0.0500050877330712</v>
      </c>
      <c r="BH110" s="39">
        <f t="shared" si="3"/>
        <v>0.357796873436407</v>
      </c>
    </row>
    <row r="111" spans="1:60">
      <c r="A111" s="38">
        <v>110</v>
      </c>
      <c r="B111" s="38">
        <v>70</v>
      </c>
      <c r="C111" s="38">
        <v>2013</v>
      </c>
      <c r="D111" s="38" t="s">
        <v>141</v>
      </c>
      <c r="E111" s="38" t="s">
        <v>230</v>
      </c>
      <c r="F111" s="38" t="s">
        <v>56</v>
      </c>
      <c r="G111" s="38" t="s">
        <v>57</v>
      </c>
      <c r="H111" s="38">
        <v>1920000</v>
      </c>
      <c r="I111" s="38" t="s">
        <v>58</v>
      </c>
      <c r="J111" s="38" t="s">
        <v>116</v>
      </c>
      <c r="K111" s="38" t="s">
        <v>72</v>
      </c>
      <c r="L111" s="38" t="s">
        <v>129</v>
      </c>
      <c r="M111" s="38" t="s">
        <v>118</v>
      </c>
      <c r="N111" s="38" t="s">
        <v>70</v>
      </c>
      <c r="O111" s="38" t="s">
        <v>64</v>
      </c>
      <c r="U111" s="38">
        <v>175532.59</v>
      </c>
      <c r="V111" s="38">
        <v>308798</v>
      </c>
      <c r="W111" s="38">
        <v>34.96</v>
      </c>
      <c r="AF111" s="38">
        <v>1860000</v>
      </c>
      <c r="AG111" s="38">
        <v>0</v>
      </c>
      <c r="AH111" s="38">
        <v>2827200</v>
      </c>
      <c r="AP111" s="38">
        <v>175532.59</v>
      </c>
      <c r="AQ111" s="38">
        <v>92277.48</v>
      </c>
      <c r="AR111" s="38">
        <v>607480.43</v>
      </c>
      <c r="AS111" s="38">
        <v>607371.09</v>
      </c>
      <c r="AT111" s="38">
        <v>109.34</v>
      </c>
      <c r="BC111" s="38">
        <v>979588.26</v>
      </c>
      <c r="BD111" s="38">
        <v>20732.8</v>
      </c>
      <c r="BF111" s="38">
        <v>1700079</v>
      </c>
      <c r="BG111" s="39">
        <f t="shared" si="2"/>
        <v>0.0542783482414641</v>
      </c>
      <c r="BH111" s="39">
        <f t="shared" si="3"/>
        <v>0.357324824316988</v>
      </c>
    </row>
    <row r="112" spans="1:60">
      <c r="A112" s="38">
        <v>111</v>
      </c>
      <c r="B112" s="38">
        <v>70</v>
      </c>
      <c r="C112" s="38">
        <v>2014</v>
      </c>
      <c r="D112" s="38" t="s">
        <v>141</v>
      </c>
      <c r="E112" s="38" t="s">
        <v>230</v>
      </c>
      <c r="F112" s="38" t="s">
        <v>56</v>
      </c>
      <c r="G112" s="38" t="s">
        <v>57</v>
      </c>
      <c r="H112" s="38">
        <v>2331000</v>
      </c>
      <c r="I112" s="38" t="s">
        <v>58</v>
      </c>
      <c r="J112" s="38" t="s">
        <v>116</v>
      </c>
      <c r="K112" s="38" t="s">
        <v>72</v>
      </c>
      <c r="L112" s="38" t="s">
        <v>129</v>
      </c>
      <c r="M112" s="38" t="s">
        <v>118</v>
      </c>
      <c r="N112" s="38" t="s">
        <v>70</v>
      </c>
      <c r="O112" s="38" t="s">
        <v>64</v>
      </c>
      <c r="U112" s="38">
        <v>184932.37</v>
      </c>
      <c r="V112" s="38">
        <v>285920</v>
      </c>
      <c r="W112" s="38">
        <v>29.56</v>
      </c>
      <c r="AF112" s="38">
        <v>1925000</v>
      </c>
      <c r="AG112" s="38">
        <v>0</v>
      </c>
      <c r="AH112" s="38">
        <v>2926000</v>
      </c>
      <c r="AP112" s="38">
        <v>184932.37</v>
      </c>
      <c r="AQ112" s="38">
        <v>97218.95</v>
      </c>
      <c r="AR112" s="38">
        <v>562465.08</v>
      </c>
      <c r="AS112" s="38">
        <v>562372.63</v>
      </c>
      <c r="AT112" s="38">
        <v>92.45</v>
      </c>
      <c r="BC112" s="38">
        <v>1015467.29</v>
      </c>
      <c r="BD112" s="38">
        <v>21457.3</v>
      </c>
      <c r="BF112" s="38">
        <v>1696609</v>
      </c>
      <c r="BG112" s="39">
        <f t="shared" si="2"/>
        <v>0.0573019181202033</v>
      </c>
      <c r="BH112" s="39">
        <f t="shared" si="3"/>
        <v>0.331523102848093</v>
      </c>
    </row>
    <row r="113" spans="1:60">
      <c r="A113" s="38">
        <v>112</v>
      </c>
      <c r="B113" s="38">
        <v>70</v>
      </c>
      <c r="C113" s="38">
        <v>2015</v>
      </c>
      <c r="D113" s="38" t="s">
        <v>141</v>
      </c>
      <c r="E113" s="38" t="s">
        <v>230</v>
      </c>
      <c r="F113" s="38" t="s">
        <v>56</v>
      </c>
      <c r="G113" s="38" t="s">
        <v>57</v>
      </c>
      <c r="H113" s="38">
        <v>2223500</v>
      </c>
      <c r="I113" s="38" t="s">
        <v>58</v>
      </c>
      <c r="J113" s="38" t="s">
        <v>116</v>
      </c>
      <c r="K113" s="38" t="s">
        <v>72</v>
      </c>
      <c r="L113" s="38" t="s">
        <v>129</v>
      </c>
      <c r="M113" s="38" t="s">
        <v>118</v>
      </c>
      <c r="N113" s="38" t="s">
        <v>70</v>
      </c>
      <c r="O113" s="38" t="s">
        <v>64</v>
      </c>
      <c r="U113" s="38">
        <v>123699.93</v>
      </c>
      <c r="V113" s="38">
        <v>239593</v>
      </c>
      <c r="W113" s="38">
        <v>95.89</v>
      </c>
      <c r="AF113" s="38">
        <v>1829000</v>
      </c>
      <c r="AG113" s="38">
        <v>0</v>
      </c>
      <c r="AH113" s="38">
        <v>2780080</v>
      </c>
      <c r="AP113" s="38">
        <v>123699.93</v>
      </c>
      <c r="AQ113" s="38">
        <v>65029.05</v>
      </c>
      <c r="AR113" s="38">
        <v>471552.5</v>
      </c>
      <c r="AS113" s="38">
        <v>471252.61</v>
      </c>
      <c r="AT113" s="38">
        <v>299.9</v>
      </c>
      <c r="BC113" s="38">
        <v>966459.28</v>
      </c>
      <c r="BD113" s="38">
        <v>20387.3</v>
      </c>
      <c r="BF113" s="38">
        <v>1523428</v>
      </c>
      <c r="BG113" s="39">
        <f t="shared" si="2"/>
        <v>0.0426860015701431</v>
      </c>
      <c r="BH113" s="39">
        <f t="shared" si="3"/>
        <v>0.3095338276571</v>
      </c>
    </row>
    <row r="114" ht="15" spans="1:60">
      <c r="A114" s="38">
        <v>113</v>
      </c>
      <c r="B114" s="38">
        <v>71</v>
      </c>
      <c r="C114" s="38">
        <v>2013</v>
      </c>
      <c r="D114" s="38" t="s">
        <v>231</v>
      </c>
      <c r="E114" s="38" t="s">
        <v>232</v>
      </c>
      <c r="F114" s="38" t="s">
        <v>56</v>
      </c>
      <c r="G114" s="38" t="s">
        <v>57</v>
      </c>
      <c r="H114" s="38">
        <v>3117184</v>
      </c>
      <c r="I114" s="38" t="s">
        <v>58</v>
      </c>
      <c r="J114" s="38" t="s">
        <v>72</v>
      </c>
      <c r="K114" s="38" t="s">
        <v>126</v>
      </c>
      <c r="L114" s="38" t="s">
        <v>70</v>
      </c>
      <c r="M114" s="38" t="s">
        <v>59</v>
      </c>
      <c r="N114" s="38" t="s">
        <v>64</v>
      </c>
      <c r="O114" s="38" t="s">
        <v>129</v>
      </c>
      <c r="U114" s="38">
        <v>207240</v>
      </c>
      <c r="V114" s="38">
        <v>406389</v>
      </c>
      <c r="W114" s="38">
        <v>24.4</v>
      </c>
      <c r="AF114" s="38">
        <v>2262175</v>
      </c>
      <c r="AG114" s="38">
        <v>0</v>
      </c>
      <c r="AH114" s="38">
        <v>3798329</v>
      </c>
      <c r="AP114" s="38">
        <v>207240</v>
      </c>
      <c r="AQ114" s="38">
        <v>108946.07</v>
      </c>
      <c r="AR114" s="38">
        <v>799397.98</v>
      </c>
      <c r="AS114" s="38">
        <v>799321.66</v>
      </c>
      <c r="AT114" s="38">
        <v>109.34</v>
      </c>
      <c r="BC114" s="38">
        <v>1202409.58</v>
      </c>
      <c r="BD114" s="38">
        <v>27854.41</v>
      </c>
      <c r="BF114" s="38">
        <v>2138608</v>
      </c>
      <c r="BG114" s="39">
        <f t="shared" si="2"/>
        <v>0.0509425149443002</v>
      </c>
      <c r="BH114" s="39">
        <f t="shared" si="3"/>
        <v>0.373793598452825</v>
      </c>
    </row>
    <row r="115" ht="15" spans="1:60">
      <c r="A115" s="38">
        <v>114</v>
      </c>
      <c r="B115" s="38">
        <v>71</v>
      </c>
      <c r="C115" s="38">
        <v>2014</v>
      </c>
      <c r="D115" s="38" t="s">
        <v>231</v>
      </c>
      <c r="E115" s="38" t="s">
        <v>232</v>
      </c>
      <c r="F115" s="38" t="s">
        <v>56</v>
      </c>
      <c r="G115" s="38" t="s">
        <v>57</v>
      </c>
      <c r="H115" s="38">
        <v>3136960</v>
      </c>
      <c r="I115" s="38" t="s">
        <v>58</v>
      </c>
      <c r="J115" s="38" t="s">
        <v>72</v>
      </c>
      <c r="K115" s="38" t="s">
        <v>126</v>
      </c>
      <c r="L115" s="38" t="s">
        <v>70</v>
      </c>
      <c r="M115" s="38" t="s">
        <v>59</v>
      </c>
      <c r="N115" s="38" t="s">
        <v>64</v>
      </c>
      <c r="O115" s="38" t="s">
        <v>129</v>
      </c>
      <c r="U115" s="38">
        <v>195162</v>
      </c>
      <c r="V115" s="38">
        <v>402876</v>
      </c>
      <c r="W115" s="38">
        <v>65.47</v>
      </c>
      <c r="AF115" s="38">
        <v>2490992</v>
      </c>
      <c r="AG115" s="38">
        <v>0</v>
      </c>
      <c r="AH115" s="38">
        <v>4104224</v>
      </c>
      <c r="AP115" s="38">
        <v>195162</v>
      </c>
      <c r="AQ115" s="38">
        <v>102596.66</v>
      </c>
      <c r="AR115" s="38">
        <v>792616.74</v>
      </c>
      <c r="AS115" s="38">
        <v>792411.99</v>
      </c>
      <c r="AT115" s="38">
        <v>92.45</v>
      </c>
      <c r="BC115" s="38">
        <v>1324227.79</v>
      </c>
      <c r="BD115" s="38">
        <v>30097.64</v>
      </c>
      <c r="BF115" s="38">
        <v>2249538</v>
      </c>
      <c r="BG115" s="39">
        <f t="shared" si="2"/>
        <v>0.0456078803736589</v>
      </c>
      <c r="BH115" s="39">
        <f t="shared" si="3"/>
        <v>0.352346455138788</v>
      </c>
    </row>
    <row r="116" ht="15" spans="1:60">
      <c r="A116" s="38">
        <v>115</v>
      </c>
      <c r="B116" s="38">
        <v>71</v>
      </c>
      <c r="C116" s="38">
        <v>2015</v>
      </c>
      <c r="D116" s="38" t="s">
        <v>231</v>
      </c>
      <c r="E116" s="38" t="s">
        <v>232</v>
      </c>
      <c r="F116" s="38" t="s">
        <v>56</v>
      </c>
      <c r="G116" s="38" t="s">
        <v>57</v>
      </c>
      <c r="H116" s="38">
        <v>2579855</v>
      </c>
      <c r="I116" s="38" t="s">
        <v>58</v>
      </c>
      <c r="J116" s="38" t="s">
        <v>72</v>
      </c>
      <c r="K116" s="38" t="s">
        <v>126</v>
      </c>
      <c r="L116" s="38" t="s">
        <v>70</v>
      </c>
      <c r="M116" s="38" t="s">
        <v>59</v>
      </c>
      <c r="N116" s="38" t="s">
        <v>64</v>
      </c>
      <c r="O116" s="38" t="s">
        <v>129</v>
      </c>
      <c r="U116" s="38">
        <v>162655.41</v>
      </c>
      <c r="V116" s="38">
        <v>257185</v>
      </c>
      <c r="W116" s="38">
        <v>62.92</v>
      </c>
      <c r="AF116" s="38">
        <v>1951782</v>
      </c>
      <c r="AG116" s="38">
        <v>0</v>
      </c>
      <c r="AH116" s="38">
        <v>2969574</v>
      </c>
      <c r="AP116" s="38">
        <v>162655.41</v>
      </c>
      <c r="AQ116" s="38">
        <v>85507.95</v>
      </c>
      <c r="AR116" s="38">
        <v>506050.88</v>
      </c>
      <c r="AS116" s="38">
        <v>505854.1</v>
      </c>
      <c r="AT116" s="38">
        <v>299.9</v>
      </c>
      <c r="BC116" s="38">
        <v>1044675.29</v>
      </c>
      <c r="BD116" s="38">
        <v>21776.88</v>
      </c>
      <c r="BF116" s="38">
        <v>1658011</v>
      </c>
      <c r="BG116" s="39">
        <f t="shared" si="2"/>
        <v>0.0515726071781188</v>
      </c>
      <c r="BH116" s="39">
        <f t="shared" si="3"/>
        <v>0.305215634878176</v>
      </c>
    </row>
    <row r="117" ht="15" spans="1:60">
      <c r="A117" s="38">
        <v>116</v>
      </c>
      <c r="B117" s="38">
        <v>72</v>
      </c>
      <c r="C117" s="38">
        <v>2013</v>
      </c>
      <c r="D117" s="38" t="s">
        <v>138</v>
      </c>
      <c r="E117" s="38" t="s">
        <v>233</v>
      </c>
      <c r="F117" s="38" t="s">
        <v>56</v>
      </c>
      <c r="G117" s="38" t="s">
        <v>57</v>
      </c>
      <c r="H117" s="38">
        <v>723807</v>
      </c>
      <c r="I117" s="38" t="s">
        <v>58</v>
      </c>
      <c r="J117" s="38" t="s">
        <v>116</v>
      </c>
      <c r="K117" s="38" t="s">
        <v>126</v>
      </c>
      <c r="L117" s="38" t="s">
        <v>72</v>
      </c>
      <c r="M117" s="38" t="s">
        <v>70</v>
      </c>
      <c r="N117" s="38" t="s">
        <v>59</v>
      </c>
      <c r="U117" s="38">
        <v>35270000</v>
      </c>
      <c r="V117" s="38">
        <v>70300</v>
      </c>
      <c r="W117" s="38">
        <v>115</v>
      </c>
      <c r="AF117" s="38">
        <v>380000</v>
      </c>
      <c r="AG117" s="38">
        <v>0</v>
      </c>
      <c r="AH117" s="38">
        <v>577600</v>
      </c>
      <c r="AP117" s="38">
        <v>35270000</v>
      </c>
      <c r="AQ117" s="38">
        <v>18541.44</v>
      </c>
      <c r="AR117" s="38">
        <v>170598.82</v>
      </c>
      <c r="AS117" s="38">
        <v>170239.16</v>
      </c>
      <c r="AT117" s="38">
        <v>359.66</v>
      </c>
      <c r="BC117" s="38">
        <v>204246.74</v>
      </c>
      <c r="BD117" s="38">
        <v>2117.87</v>
      </c>
      <c r="BF117" s="38">
        <v>395505</v>
      </c>
      <c r="BG117" s="39">
        <f t="shared" si="2"/>
        <v>0.0468804187051997</v>
      </c>
      <c r="BH117" s="39">
        <f t="shared" si="3"/>
        <v>0.431344281361803</v>
      </c>
    </row>
    <row r="118" ht="15" spans="1:60">
      <c r="A118" s="38">
        <v>117</v>
      </c>
      <c r="B118" s="38">
        <v>72</v>
      </c>
      <c r="C118" s="38">
        <v>2014</v>
      </c>
      <c r="D118" s="38" t="s">
        <v>138</v>
      </c>
      <c r="E118" s="38" t="s">
        <v>233</v>
      </c>
      <c r="F118" s="38" t="s">
        <v>56</v>
      </c>
      <c r="G118" s="38" t="s">
        <v>57</v>
      </c>
      <c r="H118" s="38">
        <v>797440</v>
      </c>
      <c r="I118" s="38" t="s">
        <v>58</v>
      </c>
      <c r="J118" s="38" t="s">
        <v>116</v>
      </c>
      <c r="K118" s="38" t="s">
        <v>126</v>
      </c>
      <c r="L118" s="38" t="s">
        <v>72</v>
      </c>
      <c r="M118" s="38" t="s">
        <v>70</v>
      </c>
      <c r="N118" s="38" t="s">
        <v>59</v>
      </c>
      <c r="U118" s="38">
        <v>47308800</v>
      </c>
      <c r="V118" s="38">
        <v>65828.5</v>
      </c>
      <c r="W118" s="38">
        <v>120</v>
      </c>
      <c r="AF118" s="38">
        <v>354000</v>
      </c>
      <c r="AG118" s="38">
        <v>0</v>
      </c>
      <c r="AH118" s="38">
        <v>538080</v>
      </c>
      <c r="AP118" s="38">
        <v>47308800</v>
      </c>
      <c r="AQ118" s="38">
        <v>24870.24</v>
      </c>
      <c r="AR118" s="38">
        <v>159786.23</v>
      </c>
      <c r="AS118" s="38">
        <v>159410.93</v>
      </c>
      <c r="AT118" s="38">
        <v>375.3</v>
      </c>
      <c r="BC118" s="38">
        <v>191184.27</v>
      </c>
      <c r="BD118" s="38">
        <v>1972.96</v>
      </c>
      <c r="BF118" s="38">
        <v>377814</v>
      </c>
      <c r="BG118" s="39">
        <f t="shared" si="2"/>
        <v>0.0658266766186536</v>
      </c>
      <c r="BH118" s="39">
        <f t="shared" si="3"/>
        <v>0.422922999147729</v>
      </c>
    </row>
    <row r="119" ht="15" spans="1:60">
      <c r="A119" s="38">
        <v>118</v>
      </c>
      <c r="B119" s="38">
        <v>72</v>
      </c>
      <c r="C119" s="38">
        <v>2015</v>
      </c>
      <c r="D119" s="38" t="s">
        <v>138</v>
      </c>
      <c r="E119" s="38" t="s">
        <v>233</v>
      </c>
      <c r="F119" s="38" t="s">
        <v>56</v>
      </c>
      <c r="G119" s="38" t="s">
        <v>57</v>
      </c>
      <c r="H119" s="38">
        <v>662205</v>
      </c>
      <c r="I119" s="38" t="s">
        <v>58</v>
      </c>
      <c r="J119" s="38" t="s">
        <v>116</v>
      </c>
      <c r="K119" s="38" t="s">
        <v>126</v>
      </c>
      <c r="L119" s="38" t="s">
        <v>72</v>
      </c>
      <c r="M119" s="38" t="s">
        <v>70</v>
      </c>
      <c r="N119" s="38" t="s">
        <v>59</v>
      </c>
      <c r="U119" s="38">
        <v>40049240</v>
      </c>
      <c r="V119" s="38">
        <v>47278.855</v>
      </c>
      <c r="W119" s="38">
        <v>80</v>
      </c>
      <c r="AF119" s="38">
        <v>326061</v>
      </c>
      <c r="AG119" s="38">
        <v>0</v>
      </c>
      <c r="AH119" s="38">
        <v>485830.89</v>
      </c>
      <c r="AP119" s="38">
        <v>40049240</v>
      </c>
      <c r="AQ119" s="38">
        <v>21053.89</v>
      </c>
      <c r="AR119" s="38">
        <v>114741.13</v>
      </c>
      <c r="AS119" s="38">
        <v>114490.93</v>
      </c>
      <c r="AT119" s="38">
        <v>250.2</v>
      </c>
      <c r="BC119" s="38">
        <v>165336.82</v>
      </c>
      <c r="BD119" s="38">
        <v>1781.38</v>
      </c>
      <c r="BF119" s="38">
        <v>302913</v>
      </c>
      <c r="BG119" s="39">
        <f t="shared" si="2"/>
        <v>0.0695047422857388</v>
      </c>
      <c r="BH119" s="39">
        <f t="shared" si="3"/>
        <v>0.378792359522371</v>
      </c>
    </row>
    <row r="120" spans="1:60">
      <c r="A120" s="38">
        <v>119</v>
      </c>
      <c r="B120" s="38">
        <v>73</v>
      </c>
      <c r="C120" s="38">
        <v>2013</v>
      </c>
      <c r="D120" s="38" t="s">
        <v>205</v>
      </c>
      <c r="E120" s="38" t="s">
        <v>206</v>
      </c>
      <c r="F120" s="38" t="s">
        <v>56</v>
      </c>
      <c r="G120" s="38" t="s">
        <v>57</v>
      </c>
      <c r="H120" s="38" t="s">
        <v>92</v>
      </c>
      <c r="I120" s="38" t="s">
        <v>58</v>
      </c>
      <c r="J120" s="38" t="s">
        <v>67</v>
      </c>
      <c r="K120" s="38" t="s">
        <v>68</v>
      </c>
      <c r="L120" s="38" t="s">
        <v>59</v>
      </c>
      <c r="M120" s="38" t="s">
        <v>234</v>
      </c>
      <c r="N120" s="38" t="s">
        <v>235</v>
      </c>
      <c r="O120" s="38" t="s">
        <v>236</v>
      </c>
      <c r="P120" s="38" t="s">
        <v>70</v>
      </c>
      <c r="U120" s="38">
        <v>305646.64</v>
      </c>
      <c r="V120" s="38">
        <v>398626.82</v>
      </c>
      <c r="W120" s="38">
        <v>381.57</v>
      </c>
      <c r="AF120" s="38">
        <v>2750113.61</v>
      </c>
      <c r="AG120" s="38">
        <v>0</v>
      </c>
      <c r="AH120" s="38">
        <v>4260139.08</v>
      </c>
      <c r="AP120" s="38">
        <v>305646.64</v>
      </c>
      <c r="AQ120" s="38">
        <v>160678.44</v>
      </c>
      <c r="AR120" s="38">
        <v>790937.92</v>
      </c>
      <c r="AS120" s="38">
        <v>789744.56</v>
      </c>
      <c r="AT120" s="38">
        <v>1193.36</v>
      </c>
      <c r="BC120" s="38">
        <v>1488566.93</v>
      </c>
      <c r="BD120" s="38">
        <v>15620.51</v>
      </c>
      <c r="BF120" s="38">
        <v>2455804</v>
      </c>
      <c r="BG120" s="39">
        <f t="shared" si="2"/>
        <v>0.0654280390454613</v>
      </c>
      <c r="BH120" s="39">
        <f t="shared" si="3"/>
        <v>0.32206882959715</v>
      </c>
    </row>
    <row r="121" spans="1:60">
      <c r="A121" s="38">
        <v>120</v>
      </c>
      <c r="B121" s="38">
        <v>73</v>
      </c>
      <c r="C121" s="38">
        <v>2014</v>
      </c>
      <c r="D121" s="38" t="s">
        <v>205</v>
      </c>
      <c r="E121" s="38" t="s">
        <v>206</v>
      </c>
      <c r="F121" s="38" t="s">
        <v>56</v>
      </c>
      <c r="G121" s="38" t="s">
        <v>57</v>
      </c>
      <c r="H121" s="38" t="s">
        <v>92</v>
      </c>
      <c r="I121" s="38" t="s">
        <v>58</v>
      </c>
      <c r="J121" s="38" t="s">
        <v>67</v>
      </c>
      <c r="K121" s="38" t="s">
        <v>68</v>
      </c>
      <c r="L121" s="38" t="s">
        <v>59</v>
      </c>
      <c r="M121" s="38" t="s">
        <v>234</v>
      </c>
      <c r="N121" s="38" t="s">
        <v>235</v>
      </c>
      <c r="O121" s="38" t="s">
        <v>236</v>
      </c>
      <c r="P121" s="38" t="s">
        <v>70</v>
      </c>
      <c r="U121" s="38">
        <v>311728.44</v>
      </c>
      <c r="V121" s="38">
        <v>402096.72</v>
      </c>
      <c r="W121" s="38">
        <v>477.5</v>
      </c>
      <c r="AF121" s="38">
        <v>2738312.33</v>
      </c>
      <c r="AG121" s="38">
        <v>0</v>
      </c>
      <c r="AH121" s="38">
        <v>4196175.34</v>
      </c>
      <c r="AP121" s="38">
        <v>311728.44</v>
      </c>
      <c r="AQ121" s="38">
        <v>163875.64</v>
      </c>
      <c r="AR121" s="38">
        <v>798112.38</v>
      </c>
      <c r="AS121" s="38">
        <v>796619</v>
      </c>
      <c r="AT121" s="38">
        <v>1493.38</v>
      </c>
      <c r="BC121" s="38">
        <v>1474548.79</v>
      </c>
      <c r="BD121" s="38">
        <v>15385.98</v>
      </c>
      <c r="BF121" s="38">
        <v>2451923</v>
      </c>
      <c r="BG121" s="39">
        <f t="shared" si="2"/>
        <v>0.0668355572340567</v>
      </c>
      <c r="BH121" s="39">
        <f t="shared" si="3"/>
        <v>0.325504667153088</v>
      </c>
    </row>
    <row r="122" spans="1:60">
      <c r="A122" s="38">
        <v>121</v>
      </c>
      <c r="B122" s="38">
        <v>73</v>
      </c>
      <c r="C122" s="38">
        <v>2015</v>
      </c>
      <c r="D122" s="38" t="s">
        <v>205</v>
      </c>
      <c r="E122" s="38" t="s">
        <v>206</v>
      </c>
      <c r="F122" s="38" t="s">
        <v>56</v>
      </c>
      <c r="G122" s="38" t="s">
        <v>57</v>
      </c>
      <c r="H122" s="38" t="s">
        <v>92</v>
      </c>
      <c r="I122" s="38" t="s">
        <v>58</v>
      </c>
      <c r="J122" s="38" t="s">
        <v>67</v>
      </c>
      <c r="K122" s="38" t="s">
        <v>68</v>
      </c>
      <c r="L122" s="38" t="s">
        <v>59</v>
      </c>
      <c r="M122" s="38" t="s">
        <v>234</v>
      </c>
      <c r="N122" s="38" t="s">
        <v>235</v>
      </c>
      <c r="O122" s="38" t="s">
        <v>236</v>
      </c>
      <c r="P122" s="38" t="s">
        <v>70</v>
      </c>
      <c r="U122" s="38">
        <v>298325.36</v>
      </c>
      <c r="V122" s="38">
        <v>349234.76</v>
      </c>
      <c r="W122" s="38">
        <v>637.24</v>
      </c>
      <c r="AF122" s="38">
        <v>2537458</v>
      </c>
      <c r="AG122" s="38">
        <v>0</v>
      </c>
      <c r="AH122" s="38">
        <v>3724270.31</v>
      </c>
      <c r="AP122" s="38">
        <v>298325.36</v>
      </c>
      <c r="AQ122" s="38">
        <v>156829.64</v>
      </c>
      <c r="AR122" s="38">
        <v>693883.82</v>
      </c>
      <c r="AS122" s="38">
        <v>691890.86</v>
      </c>
      <c r="AT122" s="38">
        <v>1992.97</v>
      </c>
      <c r="BC122" s="38">
        <v>1355505.91</v>
      </c>
      <c r="BD122" s="38">
        <v>13655.66</v>
      </c>
      <c r="BF122" s="38">
        <v>2219875</v>
      </c>
      <c r="BG122" s="39">
        <f t="shared" si="2"/>
        <v>0.0706479599076525</v>
      </c>
      <c r="BH122" s="39">
        <f t="shared" si="3"/>
        <v>0.312577879385101</v>
      </c>
    </row>
    <row r="123" spans="1:60">
      <c r="A123" s="38">
        <v>122</v>
      </c>
      <c r="B123" s="38">
        <v>74</v>
      </c>
      <c r="C123" s="38">
        <v>2013</v>
      </c>
      <c r="D123" s="38" t="s">
        <v>237</v>
      </c>
      <c r="E123" s="38" t="s">
        <v>238</v>
      </c>
      <c r="F123" s="38" t="s">
        <v>56</v>
      </c>
      <c r="G123" s="38" t="s">
        <v>57</v>
      </c>
      <c r="H123" s="38" t="s">
        <v>92</v>
      </c>
      <c r="I123" s="38" t="s">
        <v>58</v>
      </c>
      <c r="J123" s="38" t="s">
        <v>116</v>
      </c>
      <c r="K123" s="38" t="s">
        <v>72</v>
      </c>
      <c r="L123" s="38" t="s">
        <v>126</v>
      </c>
      <c r="M123" s="38" t="s">
        <v>59</v>
      </c>
      <c r="N123" s="38" t="s">
        <v>118</v>
      </c>
      <c r="O123" s="38" t="s">
        <v>194</v>
      </c>
      <c r="P123" s="38" t="s">
        <v>70</v>
      </c>
      <c r="U123" s="38">
        <v>79935.278</v>
      </c>
      <c r="V123" s="38">
        <v>201222.68</v>
      </c>
      <c r="W123" s="38">
        <v>329.98</v>
      </c>
      <c r="AF123" s="38">
        <v>1326282.26</v>
      </c>
      <c r="AG123" s="38">
        <v>0</v>
      </c>
      <c r="AH123" s="38">
        <v>2072073.76</v>
      </c>
      <c r="AP123" s="38">
        <v>79935.278</v>
      </c>
      <c r="AQ123" s="38">
        <v>42021.98</v>
      </c>
      <c r="AR123" s="38">
        <v>413199.89</v>
      </c>
      <c r="AS123" s="38">
        <v>412167.88</v>
      </c>
      <c r="AT123" s="38">
        <v>1032.01</v>
      </c>
      <c r="BC123" s="38">
        <v>707967.58</v>
      </c>
      <c r="BD123" s="38">
        <v>22792.81</v>
      </c>
      <c r="BF123" s="38">
        <v>1185982.25</v>
      </c>
      <c r="BG123" s="39">
        <f t="shared" si="2"/>
        <v>0.0354322166288745</v>
      </c>
      <c r="BH123" s="39">
        <f t="shared" si="3"/>
        <v>0.348403097938439</v>
      </c>
    </row>
    <row r="124" spans="1:60">
      <c r="A124" s="38">
        <v>123</v>
      </c>
      <c r="B124" s="38">
        <v>74</v>
      </c>
      <c r="C124" s="38">
        <v>2014</v>
      </c>
      <c r="D124" s="38" t="s">
        <v>237</v>
      </c>
      <c r="E124" s="38" t="s">
        <v>238</v>
      </c>
      <c r="F124" s="38" t="s">
        <v>56</v>
      </c>
      <c r="G124" s="38" t="s">
        <v>57</v>
      </c>
      <c r="H124" s="38" t="s">
        <v>92</v>
      </c>
      <c r="I124" s="38" t="s">
        <v>58</v>
      </c>
      <c r="J124" s="38" t="s">
        <v>116</v>
      </c>
      <c r="K124" s="38" t="s">
        <v>72</v>
      </c>
      <c r="L124" s="38" t="s">
        <v>126</v>
      </c>
      <c r="M124" s="38" t="s">
        <v>59</v>
      </c>
      <c r="N124" s="38" t="s">
        <v>118</v>
      </c>
      <c r="O124" s="38" t="s">
        <v>194</v>
      </c>
      <c r="P124" s="38" t="s">
        <v>70</v>
      </c>
      <c r="U124" s="38">
        <v>69691.8</v>
      </c>
      <c r="V124" s="38">
        <v>167686.64</v>
      </c>
      <c r="W124" s="38">
        <v>259.83</v>
      </c>
      <c r="AF124" s="38">
        <v>1111967.93</v>
      </c>
      <c r="AG124" s="38">
        <v>5.88</v>
      </c>
      <c r="AH124" s="38">
        <v>1720718.3</v>
      </c>
      <c r="AP124" s="38">
        <v>69691.8</v>
      </c>
      <c r="AQ124" s="38">
        <v>36636.98</v>
      </c>
      <c r="AR124" s="38">
        <v>340396.16</v>
      </c>
      <c r="AS124" s="38">
        <v>339583.54</v>
      </c>
      <c r="AT124" s="38">
        <v>812.62</v>
      </c>
      <c r="BC124" s="38">
        <v>583976.88</v>
      </c>
      <c r="BD124" s="38">
        <v>18927.9</v>
      </c>
      <c r="BF124" s="38">
        <v>979937.92</v>
      </c>
      <c r="BG124" s="39">
        <f t="shared" si="2"/>
        <v>0.0373870418240372</v>
      </c>
      <c r="BH124" s="39">
        <f t="shared" si="3"/>
        <v>0.34736502491913</v>
      </c>
    </row>
    <row r="125" spans="1:60">
      <c r="A125" s="38">
        <v>124</v>
      </c>
      <c r="B125" s="38">
        <v>74</v>
      </c>
      <c r="C125" s="38">
        <v>2015</v>
      </c>
      <c r="D125" s="38" t="s">
        <v>237</v>
      </c>
      <c r="E125" s="38" t="s">
        <v>238</v>
      </c>
      <c r="F125" s="38" t="s">
        <v>56</v>
      </c>
      <c r="G125" s="38" t="s">
        <v>57</v>
      </c>
      <c r="H125" s="38" t="s">
        <v>92</v>
      </c>
      <c r="I125" s="38" t="s">
        <v>58</v>
      </c>
      <c r="J125" s="38" t="s">
        <v>116</v>
      </c>
      <c r="K125" s="38" t="s">
        <v>72</v>
      </c>
      <c r="L125" s="38" t="s">
        <v>126</v>
      </c>
      <c r="M125" s="38" t="s">
        <v>59</v>
      </c>
      <c r="N125" s="38" t="s">
        <v>118</v>
      </c>
      <c r="O125" s="38" t="s">
        <v>194</v>
      </c>
      <c r="P125" s="38" t="s">
        <v>70</v>
      </c>
      <c r="U125" s="38">
        <v>58771.4</v>
      </c>
      <c r="V125" s="38">
        <v>135040.63</v>
      </c>
      <c r="W125" s="38">
        <v>171.43</v>
      </c>
      <c r="AF125" s="38">
        <v>876780.05</v>
      </c>
      <c r="AG125" s="38">
        <v>15.74</v>
      </c>
      <c r="AH125" s="38">
        <v>1392084.22</v>
      </c>
      <c r="AP125" s="38">
        <v>58771.4</v>
      </c>
      <c r="AQ125" s="38">
        <v>30896.12</v>
      </c>
      <c r="AR125" s="38">
        <v>274645.46</v>
      </c>
      <c r="AS125" s="38">
        <v>274109.31</v>
      </c>
      <c r="AT125" s="38">
        <v>536.15</v>
      </c>
      <c r="BC125" s="38">
        <v>458318.7</v>
      </c>
      <c r="BD125" s="38">
        <v>15312.93</v>
      </c>
      <c r="BF125" s="38">
        <v>779173.21</v>
      </c>
      <c r="BG125" s="39">
        <f t="shared" si="2"/>
        <v>0.0396524413358616</v>
      </c>
      <c r="BH125" s="39">
        <f t="shared" si="3"/>
        <v>0.352483191766822</v>
      </c>
    </row>
    <row r="126" spans="1:60">
      <c r="A126" s="38">
        <v>125</v>
      </c>
      <c r="B126" s="38">
        <v>75</v>
      </c>
      <c r="C126" s="38">
        <v>2015</v>
      </c>
      <c r="D126" s="38" t="s">
        <v>239</v>
      </c>
      <c r="E126" s="38" t="s">
        <v>240</v>
      </c>
      <c r="F126" s="38" t="s">
        <v>56</v>
      </c>
      <c r="G126" s="38" t="s">
        <v>57</v>
      </c>
      <c r="H126" s="38">
        <v>1312750</v>
      </c>
      <c r="I126" s="38" t="s">
        <v>58</v>
      </c>
      <c r="U126" s="38">
        <v>96905005</v>
      </c>
      <c r="V126" s="38">
        <v>4856.1</v>
      </c>
      <c r="W126" s="38">
        <v>340.04</v>
      </c>
      <c r="AE126" s="38">
        <v>146978.54</v>
      </c>
      <c r="AF126" s="38">
        <v>961468.59</v>
      </c>
      <c r="AG126" s="38">
        <v>0</v>
      </c>
      <c r="AH126" s="38">
        <v>1487375.45</v>
      </c>
      <c r="AP126" s="38">
        <v>96905005</v>
      </c>
      <c r="AQ126" s="38">
        <v>94230.43</v>
      </c>
      <c r="AR126" s="38">
        <v>327947.97</v>
      </c>
      <c r="AS126" s="38">
        <v>326885.22</v>
      </c>
      <c r="AT126" s="38">
        <v>1062.75</v>
      </c>
      <c r="BC126" s="38">
        <v>511433.506</v>
      </c>
      <c r="BD126" s="38">
        <v>10878.8237</v>
      </c>
      <c r="BF126" s="38">
        <v>944491</v>
      </c>
      <c r="BG126" s="39">
        <f t="shared" si="2"/>
        <v>0.099768478471473</v>
      </c>
      <c r="BH126" s="39">
        <f t="shared" si="3"/>
        <v>0.34722191106109</v>
      </c>
    </row>
    <row r="127" spans="1:60">
      <c r="A127" s="38">
        <v>126</v>
      </c>
      <c r="B127" s="38">
        <v>76</v>
      </c>
      <c r="C127" s="38">
        <v>2015</v>
      </c>
      <c r="D127" s="38" t="s">
        <v>241</v>
      </c>
      <c r="E127" s="38" t="s">
        <v>242</v>
      </c>
      <c r="F127" s="38" t="s">
        <v>56</v>
      </c>
      <c r="G127" s="38" t="s">
        <v>57</v>
      </c>
      <c r="H127" s="38">
        <v>2223500</v>
      </c>
      <c r="I127" s="38" t="s">
        <v>58</v>
      </c>
      <c r="U127" s="38">
        <v>123700</v>
      </c>
      <c r="V127" s="38">
        <v>239593</v>
      </c>
      <c r="W127" s="38">
        <v>95.89</v>
      </c>
      <c r="AF127" s="38">
        <v>1829000</v>
      </c>
      <c r="AG127" s="38">
        <v>0</v>
      </c>
      <c r="AH127" s="38">
        <v>2780080</v>
      </c>
      <c r="AP127" s="38">
        <v>123700</v>
      </c>
      <c r="AQ127" s="38">
        <v>120285.8</v>
      </c>
      <c r="AR127" s="38">
        <v>551002.2</v>
      </c>
      <c r="AS127" s="38">
        <v>550862.92</v>
      </c>
      <c r="AT127" s="38">
        <v>139.32</v>
      </c>
      <c r="BC127" s="38">
        <v>966459.3</v>
      </c>
      <c r="BD127" s="38">
        <v>20387.3</v>
      </c>
      <c r="BF127" s="38">
        <v>1658295</v>
      </c>
      <c r="BG127" s="39">
        <f t="shared" si="2"/>
        <v>0.0725358274613383</v>
      </c>
      <c r="BH127" s="39">
        <f t="shared" si="3"/>
        <v>0.332270313786148</v>
      </c>
    </row>
    <row r="128" spans="1:60">
      <c r="A128" s="38">
        <v>127</v>
      </c>
      <c r="B128" s="38">
        <v>77</v>
      </c>
      <c r="C128" s="38">
        <v>2015</v>
      </c>
      <c r="D128" s="38" t="s">
        <v>150</v>
      </c>
      <c r="E128" s="38" t="s">
        <v>242</v>
      </c>
      <c r="F128" s="38" t="s">
        <v>56</v>
      </c>
      <c r="G128" s="38" t="s">
        <v>57</v>
      </c>
      <c r="H128" s="38">
        <v>3117184</v>
      </c>
      <c r="I128" s="38" t="s">
        <v>58</v>
      </c>
      <c r="U128" s="38">
        <v>162655</v>
      </c>
      <c r="V128" s="38">
        <v>257185</v>
      </c>
      <c r="W128" s="38">
        <v>62.92</v>
      </c>
      <c r="AF128" s="38">
        <v>1951782</v>
      </c>
      <c r="AG128" s="38">
        <v>0</v>
      </c>
      <c r="AH128" s="38">
        <v>2969574</v>
      </c>
      <c r="AP128" s="38">
        <v>162655</v>
      </c>
      <c r="AQ128" s="38">
        <v>158166.12</v>
      </c>
      <c r="AR128" s="38">
        <v>603595.5</v>
      </c>
      <c r="AS128" s="38">
        <v>603400.7</v>
      </c>
      <c r="AT128" s="38">
        <v>194.8</v>
      </c>
      <c r="BC128" s="38">
        <v>1066452.17</v>
      </c>
      <c r="BF128" s="38">
        <v>1828213</v>
      </c>
      <c r="BG128" s="39">
        <f t="shared" si="2"/>
        <v>0.0865140549815585</v>
      </c>
      <c r="BH128" s="39">
        <f t="shared" si="3"/>
        <v>0.330156004798128</v>
      </c>
    </row>
    <row r="129" spans="1:60">
      <c r="A129" s="38">
        <v>128</v>
      </c>
      <c r="B129" s="38">
        <v>78</v>
      </c>
      <c r="C129" s="38">
        <v>2015</v>
      </c>
      <c r="D129" s="38" t="s">
        <v>243</v>
      </c>
      <c r="E129" s="38" t="s">
        <v>244</v>
      </c>
      <c r="F129" s="38" t="s">
        <v>56</v>
      </c>
      <c r="G129" s="38" t="s">
        <v>57</v>
      </c>
      <c r="H129" s="38">
        <v>662205</v>
      </c>
      <c r="I129" s="38" t="s">
        <v>58</v>
      </c>
      <c r="U129" s="38">
        <v>40049.24</v>
      </c>
      <c r="V129" s="38">
        <v>47278.86</v>
      </c>
      <c r="W129" s="38">
        <v>80</v>
      </c>
      <c r="AF129" s="38">
        <v>326061</v>
      </c>
      <c r="AG129" s="38">
        <v>0</v>
      </c>
      <c r="AH129" s="38">
        <v>485830.89</v>
      </c>
      <c r="AP129" s="38">
        <v>40049.24</v>
      </c>
      <c r="AQ129" s="38">
        <v>38943.8</v>
      </c>
      <c r="AR129" s="38">
        <v>95658.9</v>
      </c>
      <c r="AS129" s="38">
        <v>95406.2</v>
      </c>
      <c r="AT129" s="38">
        <v>252.7</v>
      </c>
      <c r="BC129" s="38">
        <v>165336.8</v>
      </c>
      <c r="BD129" s="38">
        <v>3562.7</v>
      </c>
      <c r="BF129" s="38">
        <v>303502</v>
      </c>
      <c r="BG129" s="39">
        <f t="shared" si="2"/>
        <v>0.128314805174266</v>
      </c>
      <c r="BH129" s="39">
        <f t="shared" si="3"/>
        <v>0.315183754967018</v>
      </c>
    </row>
    <row r="130" spans="1:60">
      <c r="A130" s="38">
        <v>129</v>
      </c>
      <c r="B130" s="38">
        <v>79</v>
      </c>
      <c r="C130" s="38">
        <v>2015</v>
      </c>
      <c r="D130" s="38" t="s">
        <v>205</v>
      </c>
      <c r="E130" s="38" t="s">
        <v>245</v>
      </c>
      <c r="F130" s="38" t="s">
        <v>56</v>
      </c>
      <c r="G130" s="38" t="s">
        <v>57</v>
      </c>
      <c r="H130" s="38" t="s">
        <v>92</v>
      </c>
      <c r="I130" s="38" t="s">
        <v>58</v>
      </c>
      <c r="U130" s="38">
        <v>298325360</v>
      </c>
      <c r="V130" s="38">
        <v>349234.8</v>
      </c>
      <c r="W130" s="38">
        <v>637.34</v>
      </c>
      <c r="AF130" s="38">
        <v>2537458</v>
      </c>
      <c r="AG130" s="38">
        <v>0</v>
      </c>
      <c r="AH130" s="38">
        <v>3724270.31</v>
      </c>
      <c r="AP130" s="38">
        <v>298325360</v>
      </c>
      <c r="AQ130" s="38">
        <v>290091.6</v>
      </c>
      <c r="AR130" s="38">
        <v>768997.1</v>
      </c>
      <c r="AS130" s="38">
        <v>766969.38</v>
      </c>
      <c r="AT130" s="38">
        <v>2027.72</v>
      </c>
      <c r="BD130" s="38">
        <v>1347105.4</v>
      </c>
      <c r="BF130" s="38">
        <v>2406194</v>
      </c>
      <c r="BG130" s="39">
        <f t="shared" ref="BG130:BG190" si="4">AQ130/BF130</f>
        <v>0.120560353820182</v>
      </c>
      <c r="BH130" s="39">
        <f t="shared" ref="BH130:BH190" si="5">AR130/BF130</f>
        <v>0.319590648135603</v>
      </c>
    </row>
    <row r="131" spans="1:60">
      <c r="A131" s="38">
        <v>130</v>
      </c>
      <c r="B131" s="38">
        <v>80</v>
      </c>
      <c r="C131" s="38">
        <v>2015</v>
      </c>
      <c r="D131" s="38" t="s">
        <v>246</v>
      </c>
      <c r="E131" s="38" t="s">
        <v>240</v>
      </c>
      <c r="F131" s="38" t="s">
        <v>56</v>
      </c>
      <c r="G131" s="38" t="s">
        <v>57</v>
      </c>
      <c r="H131" s="38">
        <v>795892</v>
      </c>
      <c r="I131" s="38" t="s">
        <v>58</v>
      </c>
      <c r="U131" s="38">
        <v>54198.06</v>
      </c>
      <c r="V131" s="38">
        <v>97854.61</v>
      </c>
      <c r="W131" s="38">
        <v>204.3</v>
      </c>
      <c r="AF131" s="38">
        <v>612731.28</v>
      </c>
      <c r="AG131" s="38">
        <v>0</v>
      </c>
      <c r="AH131" s="38">
        <v>926876.21</v>
      </c>
      <c r="AP131" s="38">
        <v>54198.06</v>
      </c>
      <c r="AQ131" s="38">
        <v>52702.2</v>
      </c>
      <c r="AR131" s="38">
        <v>199034.6</v>
      </c>
      <c r="AS131" s="38">
        <v>198398.4</v>
      </c>
      <c r="AT131" s="38">
        <v>636.2</v>
      </c>
      <c r="BD131" s="38">
        <v>327400</v>
      </c>
      <c r="BF131" s="38">
        <v>579137</v>
      </c>
      <c r="BG131" s="39">
        <f t="shared" si="4"/>
        <v>0.0910012656763425</v>
      </c>
      <c r="BH131" s="39">
        <f t="shared" si="5"/>
        <v>0.343674467354011</v>
      </c>
    </row>
    <row r="132" spans="1:60">
      <c r="A132" s="38">
        <v>131</v>
      </c>
      <c r="B132" s="38">
        <v>81</v>
      </c>
      <c r="C132" s="38">
        <v>2015</v>
      </c>
      <c r="D132" s="38" t="s">
        <v>247</v>
      </c>
      <c r="E132" s="38" t="s">
        <v>240</v>
      </c>
      <c r="F132" s="38" t="s">
        <v>56</v>
      </c>
      <c r="G132" s="38" t="s">
        <v>57</v>
      </c>
      <c r="H132" s="38">
        <v>972619.33</v>
      </c>
      <c r="I132" s="38" t="s">
        <v>58</v>
      </c>
      <c r="U132" s="38">
        <v>62684977</v>
      </c>
      <c r="V132" s="38">
        <v>107370.2</v>
      </c>
      <c r="W132" s="38">
        <v>160</v>
      </c>
      <c r="AF132" s="38">
        <v>768699.04</v>
      </c>
      <c r="AG132" s="38">
        <v>0</v>
      </c>
      <c r="AH132" s="38">
        <v>1214544.5</v>
      </c>
      <c r="AP132" s="38">
        <v>62684977</v>
      </c>
      <c r="AQ132" s="38">
        <v>60954.87</v>
      </c>
      <c r="AR132" s="38">
        <v>250442.05</v>
      </c>
      <c r="AS132" s="38">
        <v>249946.7</v>
      </c>
      <c r="AT132" s="38">
        <v>495.35</v>
      </c>
      <c r="BD132" s="38">
        <v>425797.52</v>
      </c>
      <c r="BF132" s="38">
        <v>737194</v>
      </c>
      <c r="BG132" s="39">
        <f t="shared" si="4"/>
        <v>0.0826849784452939</v>
      </c>
      <c r="BH132" s="39">
        <f t="shared" si="5"/>
        <v>0.339723397097643</v>
      </c>
    </row>
    <row r="133" spans="1:60">
      <c r="A133" s="38">
        <v>132</v>
      </c>
      <c r="B133" s="38">
        <v>82</v>
      </c>
      <c r="C133" s="38">
        <v>2013</v>
      </c>
      <c r="D133" s="38" t="s">
        <v>220</v>
      </c>
      <c r="E133" s="38" t="s">
        <v>248</v>
      </c>
      <c r="F133" s="38" t="s">
        <v>56</v>
      </c>
      <c r="G133" s="38" t="s">
        <v>57</v>
      </c>
      <c r="H133" s="38" t="s">
        <v>92</v>
      </c>
      <c r="I133" s="38" t="s">
        <v>58</v>
      </c>
      <c r="J133" s="38" t="s">
        <v>72</v>
      </c>
      <c r="K133" s="38" t="s">
        <v>71</v>
      </c>
      <c r="L133" s="38" t="s">
        <v>70</v>
      </c>
      <c r="M133" s="38" t="s">
        <v>59</v>
      </c>
      <c r="N133" s="38" t="s">
        <v>64</v>
      </c>
      <c r="O133" s="38" t="s">
        <v>192</v>
      </c>
      <c r="U133" s="38">
        <v>20836.465</v>
      </c>
      <c r="V133" s="38">
        <v>245229</v>
      </c>
      <c r="W133" s="38">
        <v>136</v>
      </c>
      <c r="AE133" s="38">
        <v>29829</v>
      </c>
      <c r="AF133" s="38">
        <v>1861667.5</v>
      </c>
      <c r="AG133" s="38">
        <v>0</v>
      </c>
      <c r="AH133" s="38">
        <v>2906613</v>
      </c>
      <c r="AP133" s="38">
        <v>20836.465</v>
      </c>
      <c r="AQ133" s="38">
        <v>109537.3</v>
      </c>
      <c r="AR133" s="38">
        <v>646773</v>
      </c>
      <c r="AS133" s="38">
        <v>594672.6</v>
      </c>
      <c r="AT133" s="38">
        <v>424.4</v>
      </c>
      <c r="BB133" s="38">
        <v>51675.5</v>
      </c>
      <c r="BC133" s="38">
        <v>1053464.448</v>
      </c>
      <c r="BD133" s="38">
        <v>21315.16</v>
      </c>
      <c r="BF133" s="38">
        <v>1831089</v>
      </c>
      <c r="BG133" s="39">
        <f t="shared" si="4"/>
        <v>0.0598208497784652</v>
      </c>
      <c r="BH133" s="39">
        <f t="shared" si="5"/>
        <v>0.353217675383337</v>
      </c>
    </row>
    <row r="134" spans="1:60">
      <c r="A134" s="38">
        <v>133</v>
      </c>
      <c r="B134" s="38">
        <v>82</v>
      </c>
      <c r="C134" s="38">
        <v>2014</v>
      </c>
      <c r="D134" s="38" t="s">
        <v>220</v>
      </c>
      <c r="E134" s="38" t="s">
        <v>248</v>
      </c>
      <c r="F134" s="38" t="s">
        <v>56</v>
      </c>
      <c r="G134" s="38" t="s">
        <v>57</v>
      </c>
      <c r="H134" s="38" t="s">
        <v>92</v>
      </c>
      <c r="I134" s="38" t="s">
        <v>58</v>
      </c>
      <c r="J134" s="38" t="s">
        <v>72</v>
      </c>
      <c r="K134" s="38" t="s">
        <v>71</v>
      </c>
      <c r="L134" s="38" t="s">
        <v>70</v>
      </c>
      <c r="M134" s="38" t="s">
        <v>59</v>
      </c>
      <c r="N134" s="38" t="s">
        <v>64</v>
      </c>
      <c r="O134" s="38" t="s">
        <v>192</v>
      </c>
      <c r="U134" s="38">
        <v>21835.968</v>
      </c>
      <c r="V134" s="38">
        <v>282545</v>
      </c>
      <c r="W134" s="38">
        <v>173</v>
      </c>
      <c r="AE134" s="38">
        <v>16472</v>
      </c>
      <c r="AF134" s="38">
        <v>2028645.3</v>
      </c>
      <c r="AG134" s="38">
        <v>0</v>
      </c>
      <c r="AH134" s="38">
        <v>3147701.1</v>
      </c>
      <c r="AP134" s="38">
        <v>21835.968</v>
      </c>
      <c r="AQ134" s="38">
        <v>114791.7</v>
      </c>
      <c r="AR134" s="38">
        <v>727910</v>
      </c>
      <c r="AS134" s="38">
        <v>695909.3</v>
      </c>
      <c r="AT134" s="38">
        <v>541.1</v>
      </c>
      <c r="BB134" s="38">
        <v>31460</v>
      </c>
      <c r="BC134" s="38">
        <v>1112758.316</v>
      </c>
      <c r="BD134" s="38">
        <v>23083.14</v>
      </c>
      <c r="BF134" s="38">
        <v>1978543</v>
      </c>
      <c r="BG134" s="39">
        <f t="shared" si="4"/>
        <v>0.0580182993243008</v>
      </c>
      <c r="BH134" s="39">
        <f t="shared" si="5"/>
        <v>0.367902037003997</v>
      </c>
    </row>
    <row r="135" spans="1:60">
      <c r="A135" s="38">
        <v>134</v>
      </c>
      <c r="B135" s="38">
        <v>82</v>
      </c>
      <c r="C135" s="38">
        <v>2015</v>
      </c>
      <c r="D135" s="38" t="s">
        <v>220</v>
      </c>
      <c r="E135" s="38" t="s">
        <v>248</v>
      </c>
      <c r="F135" s="38" t="s">
        <v>56</v>
      </c>
      <c r="G135" s="38" t="s">
        <v>57</v>
      </c>
      <c r="H135" s="38" t="s">
        <v>92</v>
      </c>
      <c r="I135" s="38" t="s">
        <v>58</v>
      </c>
      <c r="J135" s="38" t="s">
        <v>72</v>
      </c>
      <c r="K135" s="38" t="s">
        <v>71</v>
      </c>
      <c r="L135" s="38" t="s">
        <v>70</v>
      </c>
      <c r="M135" s="38" t="s">
        <v>59</v>
      </c>
      <c r="N135" s="38" t="s">
        <v>64</v>
      </c>
      <c r="O135" s="38" t="s">
        <v>192</v>
      </c>
      <c r="U135" s="38">
        <v>15272.8709</v>
      </c>
      <c r="V135" s="38">
        <v>238070</v>
      </c>
      <c r="W135" s="38">
        <v>186</v>
      </c>
      <c r="AE135" s="38">
        <v>0</v>
      </c>
      <c r="AF135" s="38">
        <v>1905460</v>
      </c>
      <c r="AG135" s="38">
        <v>0</v>
      </c>
      <c r="AH135" s="38">
        <v>2908848</v>
      </c>
      <c r="AP135" s="38">
        <v>15272.8709</v>
      </c>
      <c r="AQ135" s="38">
        <v>80289.5</v>
      </c>
      <c r="AR135" s="38">
        <v>537297</v>
      </c>
      <c r="AS135" s="38">
        <v>536716.2</v>
      </c>
      <c r="AT135" s="38">
        <v>581.7</v>
      </c>
      <c r="BB135" s="38">
        <v>0</v>
      </c>
      <c r="BC135" s="38">
        <v>1023038.071</v>
      </c>
      <c r="BD135" s="38">
        <v>21331.55</v>
      </c>
      <c r="BF135" s="38">
        <v>1661956</v>
      </c>
      <c r="BG135" s="39">
        <f t="shared" si="4"/>
        <v>0.0483102440738503</v>
      </c>
      <c r="BH135" s="39">
        <f t="shared" si="5"/>
        <v>0.32329195237419</v>
      </c>
    </row>
    <row r="136" spans="1:60">
      <c r="A136" s="38">
        <v>135</v>
      </c>
      <c r="B136" s="38">
        <v>83</v>
      </c>
      <c r="C136" s="38">
        <v>2013</v>
      </c>
      <c r="D136" s="38" t="s">
        <v>211</v>
      </c>
      <c r="E136" s="38" t="s">
        <v>249</v>
      </c>
      <c r="F136" s="38" t="s">
        <v>56</v>
      </c>
      <c r="G136" s="38" t="s">
        <v>57</v>
      </c>
      <c r="H136" s="38" t="s">
        <v>92</v>
      </c>
      <c r="I136" s="38" t="s">
        <v>58</v>
      </c>
      <c r="J136" s="38" t="s">
        <v>72</v>
      </c>
      <c r="K136" s="38" t="s">
        <v>71</v>
      </c>
      <c r="L136" s="38" t="s">
        <v>70</v>
      </c>
      <c r="M136" s="38" t="s">
        <v>59</v>
      </c>
      <c r="N136" s="38" t="s">
        <v>64</v>
      </c>
      <c r="O136" s="38" t="s">
        <v>192</v>
      </c>
      <c r="U136" s="38">
        <v>8712</v>
      </c>
      <c r="V136" s="38">
        <v>118762</v>
      </c>
      <c r="W136" s="38">
        <v>80</v>
      </c>
      <c r="AF136" s="38">
        <v>777617</v>
      </c>
      <c r="AG136" s="38">
        <v>0</v>
      </c>
      <c r="AH136" s="38">
        <v>1194193</v>
      </c>
      <c r="AP136" s="38">
        <v>8712</v>
      </c>
      <c r="AQ136" s="38">
        <v>45799</v>
      </c>
      <c r="AR136" s="38">
        <v>252716</v>
      </c>
      <c r="AS136" s="38">
        <v>252465.8</v>
      </c>
      <c r="AT136" s="38">
        <v>250.2</v>
      </c>
      <c r="BC136" s="38">
        <v>410496.2381</v>
      </c>
      <c r="BD136" s="38">
        <v>8757.415333</v>
      </c>
      <c r="BF136" s="38">
        <v>717769</v>
      </c>
      <c r="BG136" s="39">
        <f t="shared" si="4"/>
        <v>0.0638074366544111</v>
      </c>
      <c r="BH136" s="39">
        <f t="shared" si="5"/>
        <v>0.352085420239659</v>
      </c>
    </row>
    <row r="137" spans="1:60">
      <c r="A137" s="38">
        <v>136</v>
      </c>
      <c r="B137" s="38">
        <v>83</v>
      </c>
      <c r="C137" s="38">
        <v>2014</v>
      </c>
      <c r="D137" s="38" t="s">
        <v>211</v>
      </c>
      <c r="E137" s="38" t="s">
        <v>249</v>
      </c>
      <c r="F137" s="38" t="s">
        <v>56</v>
      </c>
      <c r="G137" s="38" t="s">
        <v>57</v>
      </c>
      <c r="H137" s="38" t="s">
        <v>92</v>
      </c>
      <c r="I137" s="38" t="s">
        <v>58</v>
      </c>
      <c r="J137" s="38" t="s">
        <v>72</v>
      </c>
      <c r="K137" s="38" t="s">
        <v>71</v>
      </c>
      <c r="L137" s="38" t="s">
        <v>70</v>
      </c>
      <c r="M137" s="38" t="s">
        <v>59</v>
      </c>
      <c r="N137" s="38" t="s">
        <v>64</v>
      </c>
      <c r="O137" s="38" t="s">
        <v>192</v>
      </c>
      <c r="U137" s="38">
        <v>9160</v>
      </c>
      <c r="V137" s="38">
        <v>128686</v>
      </c>
      <c r="W137" s="38">
        <v>121</v>
      </c>
      <c r="AF137" s="38">
        <v>851381</v>
      </c>
      <c r="AG137" s="38">
        <v>0</v>
      </c>
      <c r="AH137" s="38">
        <v>1256852</v>
      </c>
      <c r="AP137" s="38">
        <v>9160</v>
      </c>
      <c r="AQ137" s="38">
        <v>48154.1</v>
      </c>
      <c r="AR137" s="38">
        <v>282496</v>
      </c>
      <c r="AS137" s="38">
        <v>282117.5</v>
      </c>
      <c r="AT137" s="38">
        <v>378.4</v>
      </c>
      <c r="BC137" s="38">
        <v>449502.4103</v>
      </c>
      <c r="BD137" s="38">
        <v>9216.914667</v>
      </c>
      <c r="BF137" s="38">
        <v>789369</v>
      </c>
      <c r="BG137" s="39">
        <f t="shared" si="4"/>
        <v>0.0610032823685754</v>
      </c>
      <c r="BH137" s="39">
        <f t="shared" si="5"/>
        <v>0.35787572098727</v>
      </c>
    </row>
    <row r="138" spans="1:60">
      <c r="A138" s="38">
        <v>137</v>
      </c>
      <c r="B138" s="38">
        <v>83</v>
      </c>
      <c r="C138" s="38">
        <v>2015</v>
      </c>
      <c r="D138" s="38" t="s">
        <v>211</v>
      </c>
      <c r="E138" s="38" t="s">
        <v>249</v>
      </c>
      <c r="F138" s="38" t="s">
        <v>56</v>
      </c>
      <c r="G138" s="38" t="s">
        <v>57</v>
      </c>
      <c r="H138" s="38" t="s">
        <v>92</v>
      </c>
      <c r="I138" s="38" t="s">
        <v>58</v>
      </c>
      <c r="J138" s="38" t="s">
        <v>72</v>
      </c>
      <c r="K138" s="38" t="s">
        <v>71</v>
      </c>
      <c r="L138" s="38" t="s">
        <v>70</v>
      </c>
      <c r="M138" s="38" t="s">
        <v>59</v>
      </c>
      <c r="N138" s="38" t="s">
        <v>64</v>
      </c>
      <c r="O138" s="38" t="s">
        <v>192</v>
      </c>
      <c r="U138" s="38">
        <v>6554.5482</v>
      </c>
      <c r="V138" s="38">
        <v>112339</v>
      </c>
      <c r="W138" s="38">
        <v>119</v>
      </c>
      <c r="AF138" s="38">
        <v>827783</v>
      </c>
      <c r="AG138" s="38">
        <v>0</v>
      </c>
      <c r="AH138" s="38">
        <v>1194193</v>
      </c>
      <c r="AP138" s="38">
        <v>6554.5482</v>
      </c>
      <c r="AQ138" s="38">
        <v>34457.3</v>
      </c>
      <c r="AR138" s="38">
        <v>254784</v>
      </c>
      <c r="AS138" s="38">
        <v>254412.2</v>
      </c>
      <c r="AT138" s="38">
        <v>371.9</v>
      </c>
      <c r="BC138" s="38">
        <v>410496.2381</v>
      </c>
      <c r="BD138" s="38">
        <v>8757.415333</v>
      </c>
      <c r="BF138" s="38">
        <v>743403</v>
      </c>
      <c r="BG138" s="39">
        <f t="shared" si="4"/>
        <v>0.0463507680221899</v>
      </c>
      <c r="BH138" s="39">
        <f t="shared" si="5"/>
        <v>0.342726623379244</v>
      </c>
    </row>
    <row r="139" spans="1:60">
      <c r="A139" s="38">
        <v>138</v>
      </c>
      <c r="B139" s="38">
        <v>84</v>
      </c>
      <c r="C139" s="38">
        <v>2013</v>
      </c>
      <c r="D139" s="38" t="s">
        <v>218</v>
      </c>
      <c r="E139" s="46" t="s">
        <v>250</v>
      </c>
      <c r="F139" s="38" t="s">
        <v>56</v>
      </c>
      <c r="G139" s="38" t="s">
        <v>57</v>
      </c>
      <c r="H139" s="38" t="s">
        <v>92</v>
      </c>
      <c r="I139" s="38" t="s">
        <v>58</v>
      </c>
      <c r="J139" s="38" t="s">
        <v>251</v>
      </c>
      <c r="K139" s="38" t="s">
        <v>126</v>
      </c>
      <c r="L139" s="38" t="s">
        <v>70</v>
      </c>
      <c r="M139" s="38" t="s">
        <v>59</v>
      </c>
      <c r="N139" s="38" t="s">
        <v>193</v>
      </c>
      <c r="O139" s="38" t="s">
        <v>173</v>
      </c>
      <c r="P139" s="38" t="s">
        <v>118</v>
      </c>
      <c r="U139" s="38">
        <v>195405.5</v>
      </c>
      <c r="V139" s="38">
        <v>281855</v>
      </c>
      <c r="W139" s="38">
        <v>877.94</v>
      </c>
      <c r="AF139" s="38">
        <v>1941645</v>
      </c>
      <c r="AG139" s="38">
        <v>0</v>
      </c>
      <c r="AH139" s="38">
        <v>2989554</v>
      </c>
      <c r="AP139" s="38">
        <v>195405.5</v>
      </c>
      <c r="AQ139" s="38">
        <v>102724.7</v>
      </c>
      <c r="AR139" s="38">
        <v>588873.5</v>
      </c>
      <c r="AS139" s="38">
        <v>586127.7</v>
      </c>
      <c r="AT139" s="38">
        <v>2745.8</v>
      </c>
      <c r="BC139" s="38">
        <v>991561.7</v>
      </c>
      <c r="BD139" s="38">
        <v>21923.4</v>
      </c>
      <c r="BF139" s="38">
        <v>1705083</v>
      </c>
      <c r="BG139" s="39">
        <f t="shared" si="4"/>
        <v>0.0602461581049134</v>
      </c>
      <c r="BH139" s="39">
        <f t="shared" si="5"/>
        <v>0.345363539487521</v>
      </c>
    </row>
    <row r="140" spans="1:60">
      <c r="A140" s="38">
        <v>139</v>
      </c>
      <c r="B140" s="38">
        <v>84</v>
      </c>
      <c r="C140" s="38">
        <v>2014</v>
      </c>
      <c r="D140" s="38" t="s">
        <v>218</v>
      </c>
      <c r="E140" s="46" t="s">
        <v>250</v>
      </c>
      <c r="F140" s="38" t="s">
        <v>56</v>
      </c>
      <c r="G140" s="38" t="s">
        <v>57</v>
      </c>
      <c r="H140" s="38" t="s">
        <v>92</v>
      </c>
      <c r="I140" s="38" t="s">
        <v>58</v>
      </c>
      <c r="J140" s="38" t="s">
        <v>251</v>
      </c>
      <c r="K140" s="38" t="s">
        <v>126</v>
      </c>
      <c r="L140" s="38" t="s">
        <v>70</v>
      </c>
      <c r="M140" s="38" t="s">
        <v>59</v>
      </c>
      <c r="N140" s="38" t="s">
        <v>193</v>
      </c>
      <c r="O140" s="38" t="s">
        <v>173</v>
      </c>
      <c r="P140" s="38" t="s">
        <v>118</v>
      </c>
      <c r="U140" s="38">
        <v>206234.31</v>
      </c>
      <c r="V140" s="38">
        <v>282910.54</v>
      </c>
      <c r="W140" s="38">
        <v>923.05</v>
      </c>
      <c r="AF140" s="38">
        <v>1961853.7</v>
      </c>
      <c r="AG140" s="38">
        <v>0</v>
      </c>
      <c r="AH140" s="38">
        <v>3024176.29</v>
      </c>
      <c r="AP140" s="38">
        <v>206234.31</v>
      </c>
      <c r="AQ140" s="38">
        <v>108417.4</v>
      </c>
      <c r="AR140" s="38">
        <v>601532.7</v>
      </c>
      <c r="AS140" s="38">
        <v>598645.9</v>
      </c>
      <c r="AT140" s="38">
        <v>2886.8</v>
      </c>
      <c r="BC140" s="38">
        <v>1037968.8</v>
      </c>
      <c r="BD140" s="38">
        <v>22177.3</v>
      </c>
      <c r="BF140" s="38">
        <v>1770096</v>
      </c>
      <c r="BG140" s="39">
        <f t="shared" si="4"/>
        <v>0.0612494463577117</v>
      </c>
      <c r="BH140" s="39">
        <f t="shared" si="5"/>
        <v>0.339830551563305</v>
      </c>
    </row>
    <row r="141" spans="1:60">
      <c r="A141" s="38">
        <v>140</v>
      </c>
      <c r="B141" s="38">
        <v>84</v>
      </c>
      <c r="C141" s="38">
        <v>2015</v>
      </c>
      <c r="D141" s="38" t="s">
        <v>218</v>
      </c>
      <c r="E141" s="46" t="s">
        <v>250</v>
      </c>
      <c r="F141" s="38" t="s">
        <v>56</v>
      </c>
      <c r="G141" s="38" t="s">
        <v>57</v>
      </c>
      <c r="H141" s="38" t="s">
        <v>92</v>
      </c>
      <c r="I141" s="38" t="s">
        <v>58</v>
      </c>
      <c r="J141" s="38" t="s">
        <v>251</v>
      </c>
      <c r="K141" s="38" t="s">
        <v>126</v>
      </c>
      <c r="L141" s="38" t="s">
        <v>70</v>
      </c>
      <c r="M141" s="38" t="s">
        <v>59</v>
      </c>
      <c r="N141" s="38" t="s">
        <v>193</v>
      </c>
      <c r="O141" s="38" t="s">
        <v>173</v>
      </c>
      <c r="P141" s="38" t="s">
        <v>118</v>
      </c>
      <c r="U141" s="38">
        <v>179055.4291</v>
      </c>
      <c r="V141" s="38">
        <v>264305.15</v>
      </c>
      <c r="W141" s="38">
        <v>817.46</v>
      </c>
      <c r="AF141" s="38">
        <v>1900187.1</v>
      </c>
      <c r="AG141" s="38">
        <v>0</v>
      </c>
      <c r="AH141" s="38">
        <v>2927842.14</v>
      </c>
      <c r="AP141" s="38">
        <v>179055.4291</v>
      </c>
      <c r="AQ141" s="38">
        <v>94129.4</v>
      </c>
      <c r="AR141" s="38">
        <v>584749.5</v>
      </c>
      <c r="AS141" s="38">
        <v>582192.9</v>
      </c>
      <c r="AT141" s="38">
        <v>2556.6</v>
      </c>
      <c r="BC141" s="38">
        <v>972467.7</v>
      </c>
      <c r="BD141" s="38">
        <v>21470.8</v>
      </c>
      <c r="BF141" s="38">
        <v>1672817</v>
      </c>
      <c r="BG141" s="39">
        <f t="shared" si="4"/>
        <v>0.0562699924737733</v>
      </c>
      <c r="BH141" s="39">
        <f t="shared" si="5"/>
        <v>0.349559754593599</v>
      </c>
    </row>
    <row r="142" spans="1:60">
      <c r="A142" s="38">
        <v>141</v>
      </c>
      <c r="B142" s="38">
        <v>85</v>
      </c>
      <c r="C142" s="38">
        <v>2013</v>
      </c>
      <c r="D142" s="38" t="s">
        <v>252</v>
      </c>
      <c r="E142" s="38" t="s">
        <v>253</v>
      </c>
      <c r="F142" s="38" t="s">
        <v>56</v>
      </c>
      <c r="G142" s="38" t="s">
        <v>57</v>
      </c>
      <c r="H142" s="38" t="s">
        <v>92</v>
      </c>
      <c r="I142" s="38" t="s">
        <v>58</v>
      </c>
      <c r="J142" s="38" t="s">
        <v>72</v>
      </c>
      <c r="K142" s="38" t="s">
        <v>71</v>
      </c>
      <c r="L142" s="38" t="s">
        <v>59</v>
      </c>
      <c r="M142" s="38" t="s">
        <v>116</v>
      </c>
      <c r="N142" s="38" t="s">
        <v>173</v>
      </c>
      <c r="O142" s="38" t="s">
        <v>118</v>
      </c>
      <c r="P142" s="38" t="s">
        <v>70</v>
      </c>
      <c r="U142" s="38">
        <v>165752.32</v>
      </c>
      <c r="V142" s="38">
        <v>244870.3</v>
      </c>
      <c r="W142" s="38">
        <v>787</v>
      </c>
      <c r="AF142" s="38">
        <v>1754308</v>
      </c>
      <c r="AG142" s="38">
        <v>0</v>
      </c>
      <c r="AH142" s="38">
        <v>2723744.87</v>
      </c>
      <c r="AP142" s="38">
        <v>165752.32</v>
      </c>
      <c r="AQ142" s="38">
        <v>87136</v>
      </c>
      <c r="AR142" s="38">
        <v>531137.7</v>
      </c>
      <c r="AS142" s="38">
        <v>528676.4</v>
      </c>
      <c r="AT142" s="38">
        <v>2461.3</v>
      </c>
      <c r="BC142" s="38">
        <v>936963.1</v>
      </c>
      <c r="BD142" s="38">
        <v>19974.1</v>
      </c>
      <c r="BF142" s="38">
        <v>1575211</v>
      </c>
      <c r="BG142" s="39">
        <f t="shared" si="4"/>
        <v>0.0553170337180225</v>
      </c>
      <c r="BH142" s="39">
        <f t="shared" si="5"/>
        <v>0.337185113613351</v>
      </c>
    </row>
    <row r="143" spans="1:60">
      <c r="A143" s="38">
        <v>142</v>
      </c>
      <c r="B143" s="38">
        <v>85</v>
      </c>
      <c r="C143" s="38">
        <v>2014</v>
      </c>
      <c r="D143" s="38" t="s">
        <v>252</v>
      </c>
      <c r="E143" s="38" t="s">
        <v>253</v>
      </c>
      <c r="F143" s="38" t="s">
        <v>56</v>
      </c>
      <c r="G143" s="38" t="s">
        <v>57</v>
      </c>
      <c r="H143" s="38" t="s">
        <v>92</v>
      </c>
      <c r="I143" s="38" t="s">
        <v>58</v>
      </c>
      <c r="J143" s="38" t="s">
        <v>72</v>
      </c>
      <c r="K143" s="38" t="s">
        <v>71</v>
      </c>
      <c r="L143" s="38" t="s">
        <v>59</v>
      </c>
      <c r="M143" s="38" t="s">
        <v>116</v>
      </c>
      <c r="N143" s="38" t="s">
        <v>173</v>
      </c>
      <c r="O143" s="38" t="s">
        <v>118</v>
      </c>
      <c r="P143" s="38" t="s">
        <v>70</v>
      </c>
      <c r="U143" s="38">
        <v>159649.736</v>
      </c>
      <c r="V143" s="38">
        <v>237614.35</v>
      </c>
      <c r="W143" s="38">
        <v>592.9</v>
      </c>
      <c r="AF143" s="38">
        <v>1755019.95</v>
      </c>
      <c r="AG143" s="38">
        <v>0</v>
      </c>
      <c r="AH143" s="38">
        <v>2708326.43</v>
      </c>
      <c r="AP143" s="38">
        <v>159649.736</v>
      </c>
      <c r="AQ143" s="38">
        <v>83927.9</v>
      </c>
      <c r="AR143" s="38">
        <v>520043.9</v>
      </c>
      <c r="AS143" s="38">
        <v>518189.6</v>
      </c>
      <c r="AT143" s="38">
        <v>1854.3</v>
      </c>
      <c r="BC143" s="38">
        <v>931067.5</v>
      </c>
      <c r="BD143" s="38">
        <v>19861.1</v>
      </c>
      <c r="BF143" s="38">
        <v>1554900</v>
      </c>
      <c r="BG143" s="39">
        <f t="shared" si="4"/>
        <v>0.0539763971959612</v>
      </c>
      <c r="BH143" s="39">
        <f t="shared" si="5"/>
        <v>0.334454884558493</v>
      </c>
    </row>
    <row r="144" spans="1:60">
      <c r="A144" s="38">
        <v>143</v>
      </c>
      <c r="B144" s="38">
        <v>85</v>
      </c>
      <c r="C144" s="38">
        <v>2015</v>
      </c>
      <c r="D144" s="38" t="s">
        <v>252</v>
      </c>
      <c r="E144" s="38" t="s">
        <v>253</v>
      </c>
      <c r="F144" s="38" t="s">
        <v>56</v>
      </c>
      <c r="G144" s="38" t="s">
        <v>57</v>
      </c>
      <c r="H144" s="38" t="s">
        <v>92</v>
      </c>
      <c r="I144" s="38" t="s">
        <v>58</v>
      </c>
      <c r="J144" s="38" t="s">
        <v>72</v>
      </c>
      <c r="K144" s="38" t="s">
        <v>71</v>
      </c>
      <c r="L144" s="38" t="s">
        <v>59</v>
      </c>
      <c r="M144" s="38" t="s">
        <v>116</v>
      </c>
      <c r="N144" s="38" t="s">
        <v>173</v>
      </c>
      <c r="O144" s="38" t="s">
        <v>118</v>
      </c>
      <c r="P144" s="38" t="s">
        <v>70</v>
      </c>
      <c r="U144" s="38">
        <v>151197.613</v>
      </c>
      <c r="V144" s="38">
        <v>218775.85</v>
      </c>
      <c r="W144" s="38">
        <v>756.89</v>
      </c>
      <c r="AF144" s="38">
        <v>1716023.35</v>
      </c>
      <c r="AG144" s="38">
        <v>0</v>
      </c>
      <c r="AH144" s="38">
        <v>2652969.7</v>
      </c>
      <c r="AP144" s="38">
        <v>151197.613</v>
      </c>
      <c r="AQ144" s="38">
        <v>79484.6</v>
      </c>
      <c r="AR144" s="38">
        <v>476786.1</v>
      </c>
      <c r="AS144" s="38">
        <v>474418.9</v>
      </c>
      <c r="AT144" s="38">
        <v>2367.2</v>
      </c>
      <c r="BC144" s="38">
        <v>907733.3</v>
      </c>
      <c r="BD144" s="38">
        <v>19455.1</v>
      </c>
      <c r="BF144" s="38">
        <v>1483459</v>
      </c>
      <c r="BG144" s="39">
        <f t="shared" si="4"/>
        <v>0.0535805842965663</v>
      </c>
      <c r="BH144" s="39">
        <f t="shared" si="5"/>
        <v>0.321401602605802</v>
      </c>
    </row>
    <row r="145" spans="1:60">
      <c r="A145" s="38">
        <v>144</v>
      </c>
      <c r="B145" s="38">
        <v>86</v>
      </c>
      <c r="C145" s="38">
        <v>2013</v>
      </c>
      <c r="D145" s="38" t="s">
        <v>216</v>
      </c>
      <c r="E145" s="38" t="s">
        <v>217</v>
      </c>
      <c r="F145" s="38" t="s">
        <v>56</v>
      </c>
      <c r="G145" s="38" t="s">
        <v>57</v>
      </c>
      <c r="H145" s="38" t="s">
        <v>92</v>
      </c>
      <c r="I145" s="38" t="s">
        <v>58</v>
      </c>
      <c r="J145" s="38" t="s">
        <v>71</v>
      </c>
      <c r="K145" s="38" t="s">
        <v>251</v>
      </c>
      <c r="L145" s="38" t="s">
        <v>116</v>
      </c>
      <c r="M145" s="38" t="s">
        <v>173</v>
      </c>
      <c r="N145" s="38" t="s">
        <v>118</v>
      </c>
      <c r="O145" s="38" t="s">
        <v>59</v>
      </c>
      <c r="P145" s="38" t="s">
        <v>70</v>
      </c>
      <c r="U145" s="38">
        <v>80997.33</v>
      </c>
      <c r="V145" s="38">
        <v>165936.22</v>
      </c>
      <c r="W145" s="38">
        <v>130.08</v>
      </c>
      <c r="AF145" s="38">
        <v>1095667.23</v>
      </c>
      <c r="AG145" s="38">
        <v>0</v>
      </c>
      <c r="AH145" s="38">
        <v>1648029</v>
      </c>
      <c r="AP145" s="38">
        <v>80997.33</v>
      </c>
      <c r="AQ145" s="38">
        <v>42580.3</v>
      </c>
      <c r="AR145" s="38">
        <v>351075.8</v>
      </c>
      <c r="AS145" s="38">
        <v>350669</v>
      </c>
      <c r="AT145" s="38">
        <v>406.8</v>
      </c>
      <c r="BC145" s="38">
        <v>589789.8</v>
      </c>
      <c r="BD145" s="38">
        <v>12085.5</v>
      </c>
      <c r="BF145" s="38">
        <v>995532</v>
      </c>
      <c r="BG145" s="39">
        <f t="shared" si="4"/>
        <v>0.0427714026269372</v>
      </c>
      <c r="BH145" s="39">
        <f t="shared" si="5"/>
        <v>0.352651446663693</v>
      </c>
    </row>
    <row r="146" spans="1:60">
      <c r="A146" s="38">
        <v>145</v>
      </c>
      <c r="B146" s="38">
        <v>86</v>
      </c>
      <c r="C146" s="38">
        <v>2014</v>
      </c>
      <c r="D146" s="38" t="s">
        <v>216</v>
      </c>
      <c r="E146" s="38" t="s">
        <v>217</v>
      </c>
      <c r="F146" s="38" t="s">
        <v>56</v>
      </c>
      <c r="G146" s="38" t="s">
        <v>57</v>
      </c>
      <c r="H146" s="38" t="s">
        <v>92</v>
      </c>
      <c r="I146" s="38" t="s">
        <v>58</v>
      </c>
      <c r="J146" s="38" t="s">
        <v>71</v>
      </c>
      <c r="K146" s="38" t="s">
        <v>251</v>
      </c>
      <c r="L146" s="38" t="s">
        <v>116</v>
      </c>
      <c r="M146" s="38" t="s">
        <v>173</v>
      </c>
      <c r="N146" s="38" t="s">
        <v>118</v>
      </c>
      <c r="O146" s="38" t="s">
        <v>59</v>
      </c>
      <c r="P146" s="38" t="s">
        <v>70</v>
      </c>
      <c r="U146" s="38">
        <v>65912.69</v>
      </c>
      <c r="V146" s="38">
        <v>151420.66</v>
      </c>
      <c r="W146" s="38">
        <v>250.7</v>
      </c>
      <c r="AF146" s="38">
        <v>1065556.61</v>
      </c>
      <c r="AG146" s="38">
        <v>0</v>
      </c>
      <c r="AH146" s="38">
        <v>1660100.98</v>
      </c>
      <c r="AP146" s="38">
        <v>65912.69</v>
      </c>
      <c r="AQ146" s="38">
        <v>34650.3</v>
      </c>
      <c r="AR146" s="38">
        <v>326122.3</v>
      </c>
      <c r="AS146" s="38">
        <v>325338.2</v>
      </c>
      <c r="AT146" s="38">
        <v>784.1</v>
      </c>
      <c r="BC146" s="38">
        <v>570813.7</v>
      </c>
      <c r="BD146" s="38">
        <v>12174.1</v>
      </c>
      <c r="BF146" s="38">
        <v>943760</v>
      </c>
      <c r="BG146" s="39">
        <f t="shared" si="4"/>
        <v>0.0367151606340595</v>
      </c>
      <c r="BH146" s="39">
        <f t="shared" si="5"/>
        <v>0.345556391455455</v>
      </c>
    </row>
    <row r="147" spans="1:60">
      <c r="A147" s="38">
        <v>146</v>
      </c>
      <c r="B147" s="38">
        <v>86</v>
      </c>
      <c r="C147" s="38">
        <v>2015</v>
      </c>
      <c r="D147" s="38" t="s">
        <v>216</v>
      </c>
      <c r="E147" s="38" t="s">
        <v>217</v>
      </c>
      <c r="F147" s="38" t="s">
        <v>56</v>
      </c>
      <c r="G147" s="38" t="s">
        <v>57</v>
      </c>
      <c r="H147" s="38" t="s">
        <v>92</v>
      </c>
      <c r="I147" s="38" t="s">
        <v>58</v>
      </c>
      <c r="J147" s="38" t="s">
        <v>71</v>
      </c>
      <c r="K147" s="38" t="s">
        <v>251</v>
      </c>
      <c r="L147" s="38" t="s">
        <v>116</v>
      </c>
      <c r="M147" s="38" t="s">
        <v>173</v>
      </c>
      <c r="N147" s="38" t="s">
        <v>118</v>
      </c>
      <c r="O147" s="38" t="s">
        <v>59</v>
      </c>
      <c r="P147" s="38" t="s">
        <v>70</v>
      </c>
      <c r="U147" s="38">
        <v>67395.5</v>
      </c>
      <c r="V147" s="38">
        <v>124465.23</v>
      </c>
      <c r="W147" s="38">
        <v>153</v>
      </c>
      <c r="AF147" s="38">
        <v>849393.45</v>
      </c>
      <c r="AG147" s="38">
        <v>0</v>
      </c>
      <c r="AH147" s="38">
        <v>1316559.85</v>
      </c>
      <c r="AP147" s="38">
        <v>67395.5</v>
      </c>
      <c r="AQ147" s="38">
        <v>35429.8</v>
      </c>
      <c r="AR147" s="38">
        <v>268028.9</v>
      </c>
      <c r="AS147" s="38">
        <v>267550.4</v>
      </c>
      <c r="AT147" s="38">
        <v>478.5</v>
      </c>
      <c r="BC147" s="38">
        <v>453297.7</v>
      </c>
      <c r="BD147" s="38">
        <v>9654.8</v>
      </c>
      <c r="BF147" s="38">
        <v>766411</v>
      </c>
      <c r="BG147" s="39">
        <f t="shared" si="4"/>
        <v>0.0462281987080039</v>
      </c>
      <c r="BH147" s="39">
        <f t="shared" si="5"/>
        <v>0.349719536906438</v>
      </c>
    </row>
    <row r="148" spans="1:60">
      <c r="A148" s="38">
        <v>147</v>
      </c>
      <c r="B148" s="38">
        <v>87</v>
      </c>
      <c r="C148" s="38">
        <v>2013</v>
      </c>
      <c r="D148" s="38" t="s">
        <v>254</v>
      </c>
      <c r="E148" s="38" t="s">
        <v>210</v>
      </c>
      <c r="F148" s="38" t="s">
        <v>56</v>
      </c>
      <c r="G148" s="38" t="s">
        <v>57</v>
      </c>
      <c r="H148" s="38" t="s">
        <v>92</v>
      </c>
      <c r="I148" s="38" t="s">
        <v>58</v>
      </c>
      <c r="J148" s="38" t="s">
        <v>116</v>
      </c>
      <c r="K148" s="38" t="s">
        <v>72</v>
      </c>
      <c r="L148" s="38" t="s">
        <v>145</v>
      </c>
      <c r="M148" s="38" t="s">
        <v>70</v>
      </c>
      <c r="N148" s="38" t="s">
        <v>129</v>
      </c>
      <c r="O148" s="38" t="s">
        <v>59</v>
      </c>
      <c r="P148" s="38" t="s">
        <v>192</v>
      </c>
      <c r="Q148" s="38" t="s">
        <v>64</v>
      </c>
      <c r="U148" s="38">
        <v>71500.541</v>
      </c>
      <c r="V148" s="38">
        <v>125750.76</v>
      </c>
      <c r="W148" s="38">
        <v>231.4</v>
      </c>
      <c r="AF148" s="38">
        <v>800458.58</v>
      </c>
      <c r="AG148" s="38">
        <v>88164.98</v>
      </c>
      <c r="AH148" s="38">
        <v>0</v>
      </c>
      <c r="AP148" s="38">
        <v>71500.541</v>
      </c>
      <c r="AQ148" s="38">
        <v>37587.83</v>
      </c>
      <c r="AR148" s="38">
        <v>262284</v>
      </c>
      <c r="AS148" s="38">
        <v>261547.63</v>
      </c>
      <c r="AT148" s="38">
        <v>736.37</v>
      </c>
      <c r="BC148" s="38">
        <v>469079.31</v>
      </c>
      <c r="BD148" s="38">
        <v>0</v>
      </c>
      <c r="BF148" s="38">
        <v>76895151</v>
      </c>
      <c r="BG148" s="39">
        <f t="shared" si="4"/>
        <v>0.000488819249473871</v>
      </c>
      <c r="BH148" s="39">
        <f t="shared" si="5"/>
        <v>0.00341093029390111</v>
      </c>
    </row>
    <row r="149" spans="1:60">
      <c r="A149" s="38">
        <v>148</v>
      </c>
      <c r="B149" s="38">
        <v>87</v>
      </c>
      <c r="C149" s="38">
        <v>2014</v>
      </c>
      <c r="D149" s="38" t="s">
        <v>254</v>
      </c>
      <c r="E149" s="38" t="s">
        <v>210</v>
      </c>
      <c r="F149" s="38" t="s">
        <v>56</v>
      </c>
      <c r="G149" s="38" t="s">
        <v>57</v>
      </c>
      <c r="H149" s="38" t="s">
        <v>92</v>
      </c>
      <c r="I149" s="38" t="s">
        <v>58</v>
      </c>
      <c r="J149" s="38" t="s">
        <v>116</v>
      </c>
      <c r="K149" s="38" t="s">
        <v>72</v>
      </c>
      <c r="L149" s="38" t="s">
        <v>145</v>
      </c>
      <c r="M149" s="38" t="s">
        <v>70</v>
      </c>
      <c r="N149" s="38" t="s">
        <v>129</v>
      </c>
      <c r="O149" s="38" t="s">
        <v>59</v>
      </c>
      <c r="P149" s="38" t="s">
        <v>192</v>
      </c>
      <c r="Q149" s="38" t="s">
        <v>64</v>
      </c>
      <c r="U149" s="38">
        <v>76250.16</v>
      </c>
      <c r="V149" s="38">
        <v>136213.04</v>
      </c>
      <c r="W149" s="38">
        <v>200.87</v>
      </c>
      <c r="AF149" s="38">
        <v>890772.15</v>
      </c>
      <c r="AG149" s="38">
        <v>49067.63</v>
      </c>
      <c r="AH149" s="38">
        <v>0</v>
      </c>
      <c r="AP149" s="38">
        <v>76250.16</v>
      </c>
      <c r="AQ149" s="38">
        <v>40084.71</v>
      </c>
      <c r="AR149" s="38">
        <v>280357</v>
      </c>
      <c r="AS149" s="38">
        <v>279717.52</v>
      </c>
      <c r="AT149" s="38">
        <v>639.48</v>
      </c>
      <c r="BC149" s="38">
        <v>468390.29</v>
      </c>
      <c r="BD149" s="38">
        <v>0</v>
      </c>
      <c r="BF149" s="38">
        <v>78883232</v>
      </c>
      <c r="BG149" s="39">
        <f t="shared" si="4"/>
        <v>0.000508152480364902</v>
      </c>
      <c r="BH149" s="39">
        <f t="shared" si="5"/>
        <v>0.00355407597903696</v>
      </c>
    </row>
    <row r="150" spans="1:60">
      <c r="A150" s="38">
        <v>149</v>
      </c>
      <c r="B150" s="38">
        <v>87</v>
      </c>
      <c r="C150" s="38">
        <v>2015</v>
      </c>
      <c r="D150" s="38" t="s">
        <v>254</v>
      </c>
      <c r="E150" s="38" t="s">
        <v>210</v>
      </c>
      <c r="F150" s="38" t="s">
        <v>56</v>
      </c>
      <c r="G150" s="38" t="s">
        <v>57</v>
      </c>
      <c r="H150" s="38" t="s">
        <v>92</v>
      </c>
      <c r="I150" s="38" t="s">
        <v>58</v>
      </c>
      <c r="J150" s="38" t="s">
        <v>116</v>
      </c>
      <c r="K150" s="38" t="s">
        <v>72</v>
      </c>
      <c r="L150" s="38" t="s">
        <v>145</v>
      </c>
      <c r="M150" s="38" t="s">
        <v>70</v>
      </c>
      <c r="N150" s="38" t="s">
        <v>129</v>
      </c>
      <c r="O150" s="38" t="s">
        <v>59</v>
      </c>
      <c r="P150" s="38" t="s">
        <v>192</v>
      </c>
      <c r="Q150" s="38" t="s">
        <v>64</v>
      </c>
      <c r="U150" s="38">
        <v>69118.14</v>
      </c>
      <c r="V150" s="38">
        <v>112081.76</v>
      </c>
      <c r="W150" s="38">
        <v>517</v>
      </c>
      <c r="AF150" s="38">
        <v>761965.53</v>
      </c>
      <c r="AG150" s="38">
        <v>21721.05</v>
      </c>
      <c r="AH150" s="38">
        <v>0</v>
      </c>
      <c r="AP150" s="38">
        <v>69118.14</v>
      </c>
      <c r="AQ150" s="38">
        <v>36335.41</v>
      </c>
      <c r="AR150" s="38">
        <v>230897</v>
      </c>
      <c r="AS150" s="38">
        <v>229261.72</v>
      </c>
      <c r="AT150" s="38">
        <v>1635.28</v>
      </c>
      <c r="BC150" s="38">
        <v>395744.17</v>
      </c>
      <c r="BD150" s="38">
        <v>0</v>
      </c>
      <c r="BF150" s="38">
        <v>66297777</v>
      </c>
      <c r="BG150" s="39">
        <f t="shared" si="4"/>
        <v>0.000548063775954358</v>
      </c>
      <c r="BH150" s="39">
        <f t="shared" si="5"/>
        <v>0.0034827261251912</v>
      </c>
    </row>
    <row r="151" spans="1:60">
      <c r="A151" s="38">
        <v>150</v>
      </c>
      <c r="B151" s="38">
        <v>88</v>
      </c>
      <c r="C151" s="38">
        <v>2013</v>
      </c>
      <c r="D151" s="38" t="s">
        <v>255</v>
      </c>
      <c r="E151" s="38" t="s">
        <v>256</v>
      </c>
      <c r="F151" s="38" t="s">
        <v>56</v>
      </c>
      <c r="G151" s="38" t="s">
        <v>57</v>
      </c>
      <c r="H151" s="38" t="s">
        <v>92</v>
      </c>
      <c r="I151" s="38" t="s">
        <v>58</v>
      </c>
      <c r="J151" s="38" t="s">
        <v>116</v>
      </c>
      <c r="K151" s="38" t="s">
        <v>126</v>
      </c>
      <c r="L151" s="38" t="s">
        <v>129</v>
      </c>
      <c r="M151" s="38" t="s">
        <v>64</v>
      </c>
      <c r="N151" s="38" t="s">
        <v>118</v>
      </c>
      <c r="O151" s="38" t="s">
        <v>72</v>
      </c>
      <c r="P151" s="38" t="s">
        <v>70</v>
      </c>
      <c r="Q151" s="38" t="s">
        <v>192</v>
      </c>
      <c r="R151" s="38" t="s">
        <v>194</v>
      </c>
      <c r="S151" s="38" t="s">
        <v>193</v>
      </c>
      <c r="U151" s="38">
        <v>45463.3</v>
      </c>
      <c r="V151" s="38">
        <v>14708.53</v>
      </c>
      <c r="W151" s="38">
        <v>49.35</v>
      </c>
      <c r="AE151" s="38">
        <v>58735.56</v>
      </c>
      <c r="AF151" s="38">
        <v>402320.39</v>
      </c>
      <c r="AG151" s="38">
        <v>0</v>
      </c>
      <c r="AH151" s="38">
        <v>623614.74</v>
      </c>
      <c r="AP151" s="38">
        <v>45463.3</v>
      </c>
      <c r="AQ151" s="38">
        <v>23900.1</v>
      </c>
      <c r="AR151" s="38">
        <v>135174.5</v>
      </c>
      <c r="AS151" s="38">
        <v>34095.4</v>
      </c>
      <c r="AT151" s="38">
        <v>154.3</v>
      </c>
      <c r="BB151" s="38">
        <v>100924.8</v>
      </c>
      <c r="BC151" s="38">
        <v>215061.5</v>
      </c>
      <c r="BD151" s="38">
        <v>6859.8</v>
      </c>
      <c r="BF151" s="38">
        <v>380996</v>
      </c>
      <c r="BG151" s="39">
        <f t="shared" si="4"/>
        <v>0.0627305798486073</v>
      </c>
      <c r="BH151" s="39">
        <f t="shared" si="5"/>
        <v>0.354792438765761</v>
      </c>
    </row>
    <row r="152" spans="1:60">
      <c r="A152" s="38">
        <v>151</v>
      </c>
      <c r="B152" s="38">
        <v>88</v>
      </c>
      <c r="C152" s="38">
        <v>2014</v>
      </c>
      <c r="D152" s="38" t="s">
        <v>255</v>
      </c>
      <c r="E152" s="38" t="s">
        <v>256</v>
      </c>
      <c r="F152" s="38" t="s">
        <v>56</v>
      </c>
      <c r="G152" s="38" t="s">
        <v>57</v>
      </c>
      <c r="H152" s="38" t="s">
        <v>92</v>
      </c>
      <c r="I152" s="38" t="s">
        <v>58</v>
      </c>
      <c r="J152" s="38" t="s">
        <v>116</v>
      </c>
      <c r="K152" s="38" t="s">
        <v>126</v>
      </c>
      <c r="L152" s="38" t="s">
        <v>129</v>
      </c>
      <c r="M152" s="38" t="s">
        <v>64</v>
      </c>
      <c r="N152" s="38" t="s">
        <v>118</v>
      </c>
      <c r="O152" s="38" t="s">
        <v>72</v>
      </c>
      <c r="P152" s="38" t="s">
        <v>70</v>
      </c>
      <c r="Q152" s="38" t="s">
        <v>192</v>
      </c>
      <c r="R152" s="38" t="s">
        <v>194</v>
      </c>
      <c r="S152" s="38" t="s">
        <v>193</v>
      </c>
      <c r="U152" s="38">
        <v>42431.5</v>
      </c>
      <c r="V152" s="38">
        <v>23150.9</v>
      </c>
      <c r="W152" s="38">
        <v>111</v>
      </c>
      <c r="AE152" s="38">
        <v>43375.03</v>
      </c>
      <c r="AF152" s="38">
        <v>377225.27</v>
      </c>
      <c r="AG152" s="38">
        <v>0</v>
      </c>
      <c r="AH152" s="38">
        <v>584699.32</v>
      </c>
      <c r="AP152" s="38">
        <v>42431.5</v>
      </c>
      <c r="AQ152" s="38">
        <v>22306.2</v>
      </c>
      <c r="AR152" s="38">
        <v>128908.1</v>
      </c>
      <c r="AS152" s="38">
        <v>53945.7</v>
      </c>
      <c r="AT152" s="38">
        <v>347.2</v>
      </c>
      <c r="BB152" s="38">
        <v>74615.3</v>
      </c>
      <c r="BC152" s="38">
        <v>201024.4</v>
      </c>
      <c r="BD152" s="38">
        <v>6431.7</v>
      </c>
      <c r="BF152" s="38">
        <v>358670</v>
      </c>
      <c r="BG152" s="39">
        <f t="shared" si="4"/>
        <v>0.0621914294476817</v>
      </c>
      <c r="BH152" s="39">
        <f t="shared" si="5"/>
        <v>0.35940586054033</v>
      </c>
    </row>
    <row r="153" spans="1:60">
      <c r="A153" s="38">
        <v>152</v>
      </c>
      <c r="B153" s="38">
        <v>88</v>
      </c>
      <c r="C153" s="38">
        <v>2015</v>
      </c>
      <c r="D153" s="38" t="s">
        <v>255</v>
      </c>
      <c r="E153" s="38" t="s">
        <v>256</v>
      </c>
      <c r="F153" s="38" t="s">
        <v>56</v>
      </c>
      <c r="G153" s="38" t="s">
        <v>57</v>
      </c>
      <c r="H153" s="38" t="s">
        <v>92</v>
      </c>
      <c r="I153" s="38" t="s">
        <v>58</v>
      </c>
      <c r="J153" s="38" t="s">
        <v>116</v>
      </c>
      <c r="K153" s="38" t="s">
        <v>126</v>
      </c>
      <c r="L153" s="38" t="s">
        <v>129</v>
      </c>
      <c r="M153" s="38" t="s">
        <v>64</v>
      </c>
      <c r="N153" s="38" t="s">
        <v>118</v>
      </c>
      <c r="O153" s="38" t="s">
        <v>72</v>
      </c>
      <c r="P153" s="38" t="s">
        <v>70</v>
      </c>
      <c r="Q153" s="38" t="s">
        <v>192</v>
      </c>
      <c r="R153" s="38" t="s">
        <v>194</v>
      </c>
      <c r="S153" s="38" t="s">
        <v>193</v>
      </c>
      <c r="U153" s="38">
        <v>41579.7</v>
      </c>
      <c r="V153" s="38">
        <v>18514.65</v>
      </c>
      <c r="W153" s="38">
        <v>55</v>
      </c>
      <c r="AE153" s="38">
        <v>46176.74</v>
      </c>
      <c r="AF153" s="38">
        <v>367079.9</v>
      </c>
      <c r="AG153" s="38">
        <v>0</v>
      </c>
      <c r="AH153" s="38">
        <v>568973.85</v>
      </c>
      <c r="AP153" s="38">
        <v>41579.7</v>
      </c>
      <c r="AQ153" s="38">
        <v>21858.5</v>
      </c>
      <c r="AR153" s="38">
        <v>125706</v>
      </c>
      <c r="AS153" s="38">
        <v>44209.8</v>
      </c>
      <c r="AT153" s="38">
        <v>172</v>
      </c>
      <c r="BB153" s="38">
        <v>81324.2</v>
      </c>
      <c r="BC153" s="38">
        <v>198000.3</v>
      </c>
      <c r="BD153" s="38">
        <v>6258.7</v>
      </c>
      <c r="BF153" s="38">
        <v>351823</v>
      </c>
      <c r="BG153" s="39">
        <f t="shared" si="4"/>
        <v>0.0621292524934413</v>
      </c>
      <c r="BH153" s="39">
        <f t="shared" si="5"/>
        <v>0.35729898272711</v>
      </c>
    </row>
    <row r="154" spans="1:60">
      <c r="A154" s="38">
        <v>153</v>
      </c>
      <c r="B154" s="38">
        <v>89</v>
      </c>
      <c r="C154" s="38">
        <v>2013</v>
      </c>
      <c r="D154" s="38" t="s">
        <v>239</v>
      </c>
      <c r="E154" s="38" t="s">
        <v>257</v>
      </c>
      <c r="F154" s="38" t="s">
        <v>56</v>
      </c>
      <c r="G154" s="38" t="s">
        <v>57</v>
      </c>
      <c r="H154" s="38" t="s">
        <v>92</v>
      </c>
      <c r="I154" s="38" t="s">
        <v>58</v>
      </c>
      <c r="J154" s="38" t="s">
        <v>116</v>
      </c>
      <c r="K154" s="38" t="s">
        <v>72</v>
      </c>
      <c r="L154" s="38" t="s">
        <v>258</v>
      </c>
      <c r="M154" s="38" t="s">
        <v>173</v>
      </c>
      <c r="N154" s="38" t="s">
        <v>59</v>
      </c>
      <c r="O154" s="38" t="s">
        <v>118</v>
      </c>
      <c r="P154" s="38" t="s">
        <v>70</v>
      </c>
      <c r="Q154" s="38" t="s">
        <v>129</v>
      </c>
      <c r="U154" s="38">
        <v>84725.437</v>
      </c>
      <c r="V154" s="38">
        <v>155530.26</v>
      </c>
      <c r="W154" s="38">
        <v>180.88</v>
      </c>
      <c r="AF154" s="38">
        <v>1003000</v>
      </c>
      <c r="AG154" s="38">
        <v>14.87</v>
      </c>
      <c r="AH154" s="38">
        <v>1456919.4</v>
      </c>
      <c r="AP154" s="38">
        <v>84725.437</v>
      </c>
      <c r="AQ154" s="38">
        <v>44540.16</v>
      </c>
      <c r="AR154" s="38">
        <v>330078.2</v>
      </c>
      <c r="AS154" s="38">
        <v>329512.5</v>
      </c>
      <c r="AT154" s="38">
        <v>565.7</v>
      </c>
      <c r="BC154" s="38">
        <v>535155.72</v>
      </c>
      <c r="BD154" s="38">
        <v>10684.08</v>
      </c>
      <c r="BF154" s="38">
        <v>920458</v>
      </c>
      <c r="BG154" s="39">
        <f t="shared" si="4"/>
        <v>0.0483891280210504</v>
      </c>
      <c r="BH154" s="39">
        <f t="shared" si="5"/>
        <v>0.358602130678423</v>
      </c>
    </row>
    <row r="155" spans="1:60">
      <c r="A155" s="38">
        <v>154</v>
      </c>
      <c r="B155" s="38">
        <v>89</v>
      </c>
      <c r="C155" s="38">
        <v>2014</v>
      </c>
      <c r="D155" s="38" t="s">
        <v>239</v>
      </c>
      <c r="E155" s="38" t="s">
        <v>257</v>
      </c>
      <c r="F155" s="38" t="s">
        <v>56</v>
      </c>
      <c r="G155" s="38" t="s">
        <v>57</v>
      </c>
      <c r="H155" s="38" t="s">
        <v>92</v>
      </c>
      <c r="I155" s="38" t="s">
        <v>58</v>
      </c>
      <c r="J155" s="38" t="s">
        <v>116</v>
      </c>
      <c r="K155" s="38" t="s">
        <v>72</v>
      </c>
      <c r="L155" s="38" t="s">
        <v>258</v>
      </c>
      <c r="M155" s="38" t="s">
        <v>173</v>
      </c>
      <c r="N155" s="38" t="s">
        <v>59</v>
      </c>
      <c r="O155" s="38" t="s">
        <v>118</v>
      </c>
      <c r="P155" s="38" t="s">
        <v>70</v>
      </c>
      <c r="Q155" s="38" t="s">
        <v>129</v>
      </c>
      <c r="U155" s="38">
        <v>84086.702</v>
      </c>
      <c r="V155" s="38">
        <v>157418.3</v>
      </c>
      <c r="W155" s="38">
        <v>435.81</v>
      </c>
      <c r="AF155" s="38">
        <v>967949.21</v>
      </c>
      <c r="AG155" s="38">
        <v>16.02</v>
      </c>
      <c r="AH155" s="38">
        <v>1406885.24</v>
      </c>
      <c r="AP155" s="38">
        <v>84086.702</v>
      </c>
      <c r="AQ155" s="38">
        <v>44204.38</v>
      </c>
      <c r="AR155" s="38">
        <v>336348.95</v>
      </c>
      <c r="AS155" s="38">
        <v>334985.95</v>
      </c>
      <c r="AT155" s="38">
        <v>1363</v>
      </c>
      <c r="BC155" s="38">
        <v>517504.63</v>
      </c>
      <c r="BD155" s="38">
        <v>10317.16</v>
      </c>
      <c r="BF155" s="38">
        <v>908375</v>
      </c>
      <c r="BG155" s="39">
        <f t="shared" si="4"/>
        <v>0.0486631402229256</v>
      </c>
      <c r="BH155" s="39">
        <f t="shared" si="5"/>
        <v>0.370275436906564</v>
      </c>
    </row>
    <row r="156" spans="1:60">
      <c r="A156" s="38">
        <v>155</v>
      </c>
      <c r="B156" s="38">
        <v>89</v>
      </c>
      <c r="C156" s="38">
        <v>2015</v>
      </c>
      <c r="D156" s="38" t="s">
        <v>239</v>
      </c>
      <c r="E156" s="38" t="s">
        <v>257</v>
      </c>
      <c r="F156" s="38" t="s">
        <v>56</v>
      </c>
      <c r="G156" s="38" t="s">
        <v>57</v>
      </c>
      <c r="H156" s="38" t="s">
        <v>92</v>
      </c>
      <c r="I156" s="38" t="s">
        <v>58</v>
      </c>
      <c r="J156" s="38" t="s">
        <v>116</v>
      </c>
      <c r="K156" s="38" t="s">
        <v>72</v>
      </c>
      <c r="L156" s="38" t="s">
        <v>258</v>
      </c>
      <c r="M156" s="38" t="s">
        <v>173</v>
      </c>
      <c r="N156" s="38" t="s">
        <v>59</v>
      </c>
      <c r="O156" s="38" t="s">
        <v>118</v>
      </c>
      <c r="P156" s="38" t="s">
        <v>70</v>
      </c>
      <c r="Q156" s="38" t="s">
        <v>129</v>
      </c>
      <c r="U156" s="38">
        <v>96905.005</v>
      </c>
      <c r="V156" s="38">
        <v>151834.64</v>
      </c>
      <c r="W156" s="38">
        <v>340.04</v>
      </c>
      <c r="AF156" s="38">
        <v>961468.59</v>
      </c>
      <c r="AG156" s="38">
        <v>5.77</v>
      </c>
      <c r="AH156" s="38">
        <v>1483475.45</v>
      </c>
      <c r="AP156" s="38">
        <v>96905.005</v>
      </c>
      <c r="AQ156" s="38">
        <v>50942.96</v>
      </c>
      <c r="AR156" s="38">
        <v>324646.82</v>
      </c>
      <c r="AS156" s="38">
        <v>323583.35</v>
      </c>
      <c r="AT156" s="38">
        <v>1063.48</v>
      </c>
      <c r="BC156" s="38">
        <v>512040.04</v>
      </c>
      <c r="BD156" s="38">
        <v>10878.82</v>
      </c>
      <c r="BF156" s="38">
        <v>898509</v>
      </c>
      <c r="BG156" s="39">
        <f t="shared" si="4"/>
        <v>0.0566972172788475</v>
      </c>
      <c r="BH156" s="39">
        <f t="shared" si="5"/>
        <v>0.361317271168124</v>
      </c>
    </row>
    <row r="157" spans="1:60">
      <c r="A157" s="38">
        <v>156</v>
      </c>
      <c r="B157" s="38">
        <v>90</v>
      </c>
      <c r="C157" s="38">
        <v>2013</v>
      </c>
      <c r="D157" s="38" t="s">
        <v>259</v>
      </c>
      <c r="E157" s="38" t="s">
        <v>260</v>
      </c>
      <c r="F157" s="38" t="s">
        <v>56</v>
      </c>
      <c r="G157" s="38" t="s">
        <v>57</v>
      </c>
      <c r="H157" s="38" t="s">
        <v>92</v>
      </c>
      <c r="I157" s="38" t="s">
        <v>58</v>
      </c>
      <c r="J157" s="38" t="s">
        <v>116</v>
      </c>
      <c r="K157" s="38" t="s">
        <v>72</v>
      </c>
      <c r="L157" s="38" t="s">
        <v>71</v>
      </c>
      <c r="M157" s="38" t="s">
        <v>173</v>
      </c>
      <c r="N157" s="38" t="s">
        <v>59</v>
      </c>
      <c r="O157" s="38" t="s">
        <v>118</v>
      </c>
      <c r="P157" s="38" t="s">
        <v>64</v>
      </c>
      <c r="Q157" s="38" t="s">
        <v>70</v>
      </c>
      <c r="U157" s="38">
        <v>78139.6</v>
      </c>
      <c r="V157" s="38">
        <v>143333</v>
      </c>
      <c r="W157" s="38">
        <v>56.45</v>
      </c>
      <c r="AF157" s="38">
        <v>897779</v>
      </c>
      <c r="AG157" s="38">
        <v>0</v>
      </c>
      <c r="AH157" s="38">
        <v>1435439</v>
      </c>
      <c r="AP157" s="38">
        <v>78139.6</v>
      </c>
      <c r="AQ157" s="38">
        <v>41077.99</v>
      </c>
      <c r="AR157" s="38">
        <v>282096.52</v>
      </c>
      <c r="BC157" s="38">
        <v>489280.11</v>
      </c>
      <c r="BD157" s="38">
        <v>10526.55</v>
      </c>
      <c r="BF157" s="38">
        <v>822981</v>
      </c>
      <c r="BG157" s="39">
        <f t="shared" si="4"/>
        <v>0.0499136553577786</v>
      </c>
      <c r="BH157" s="39">
        <f t="shared" si="5"/>
        <v>0.342774037310703</v>
      </c>
    </row>
    <row r="158" spans="1:60">
      <c r="A158" s="38">
        <v>157</v>
      </c>
      <c r="B158" s="38">
        <v>90</v>
      </c>
      <c r="C158" s="38">
        <v>2014</v>
      </c>
      <c r="D158" s="38" t="s">
        <v>259</v>
      </c>
      <c r="E158" s="38" t="s">
        <v>260</v>
      </c>
      <c r="F158" s="38" t="s">
        <v>56</v>
      </c>
      <c r="G158" s="38" t="s">
        <v>57</v>
      </c>
      <c r="H158" s="38" t="s">
        <v>92</v>
      </c>
      <c r="I158" s="38" t="s">
        <v>58</v>
      </c>
      <c r="J158" s="38" t="s">
        <v>116</v>
      </c>
      <c r="K158" s="38" t="s">
        <v>72</v>
      </c>
      <c r="L158" s="38" t="s">
        <v>71</v>
      </c>
      <c r="M158" s="38" t="s">
        <v>173</v>
      </c>
      <c r="N158" s="38" t="s">
        <v>59</v>
      </c>
      <c r="O158" s="38" t="s">
        <v>118</v>
      </c>
      <c r="P158" s="38" t="s">
        <v>64</v>
      </c>
      <c r="Q158" s="38" t="s">
        <v>70</v>
      </c>
      <c r="U158" s="38">
        <v>82710.2</v>
      </c>
      <c r="V158" s="38">
        <v>150035</v>
      </c>
      <c r="W158" s="38">
        <v>61.03</v>
      </c>
      <c r="AF158" s="38">
        <v>963500</v>
      </c>
      <c r="AG158" s="38">
        <v>0</v>
      </c>
      <c r="AH158" s="38">
        <v>1494724</v>
      </c>
      <c r="AP158" s="38">
        <v>82710.2</v>
      </c>
      <c r="AQ158" s="38">
        <v>43480.75</v>
      </c>
      <c r="AR158" s="38">
        <v>295292.92</v>
      </c>
      <c r="BC158" s="38">
        <v>524751.35</v>
      </c>
      <c r="BD158" s="38">
        <v>10961.31</v>
      </c>
      <c r="BF158" s="38">
        <v>874486</v>
      </c>
      <c r="BG158" s="39">
        <f t="shared" si="4"/>
        <v>0.0497214935402053</v>
      </c>
      <c r="BH158" s="39">
        <f t="shared" si="5"/>
        <v>0.337675983377664</v>
      </c>
    </row>
    <row r="159" spans="1:60">
      <c r="A159" s="38">
        <v>158</v>
      </c>
      <c r="B159" s="38">
        <v>90</v>
      </c>
      <c r="C159" s="38">
        <v>2015</v>
      </c>
      <c r="D159" s="38" t="s">
        <v>259</v>
      </c>
      <c r="E159" s="38" t="s">
        <v>260</v>
      </c>
      <c r="F159" s="38" t="s">
        <v>56</v>
      </c>
      <c r="G159" s="38" t="s">
        <v>57</v>
      </c>
      <c r="H159" s="38" t="s">
        <v>92</v>
      </c>
      <c r="I159" s="38" t="s">
        <v>58</v>
      </c>
      <c r="J159" s="38" t="s">
        <v>116</v>
      </c>
      <c r="K159" s="38" t="s">
        <v>72</v>
      </c>
      <c r="L159" s="38" t="s">
        <v>71</v>
      </c>
      <c r="M159" s="38" t="s">
        <v>173</v>
      </c>
      <c r="N159" s="38" t="s">
        <v>59</v>
      </c>
      <c r="O159" s="38" t="s">
        <v>118</v>
      </c>
      <c r="P159" s="38" t="s">
        <v>64</v>
      </c>
      <c r="Q159" s="38" t="s">
        <v>70</v>
      </c>
      <c r="U159" s="38">
        <v>80044.16</v>
      </c>
      <c r="V159" s="38">
        <v>144294</v>
      </c>
      <c r="W159" s="38">
        <v>75.94</v>
      </c>
      <c r="AF159" s="38">
        <v>947058</v>
      </c>
      <c r="AG159" s="38">
        <v>0</v>
      </c>
      <c r="AH159" s="38">
        <v>1458468</v>
      </c>
      <c r="AP159" s="38">
        <v>80044.16</v>
      </c>
      <c r="AQ159" s="38">
        <v>42079.21</v>
      </c>
      <c r="AR159" s="38">
        <v>284047.65</v>
      </c>
      <c r="BC159" s="38">
        <v>498588.15</v>
      </c>
      <c r="BD159" s="38">
        <v>10695.43</v>
      </c>
      <c r="BF159" s="38">
        <v>835410</v>
      </c>
      <c r="BG159" s="39">
        <f t="shared" si="4"/>
        <v>0.050369531128428</v>
      </c>
      <c r="BH159" s="39">
        <f t="shared" si="5"/>
        <v>0.340009875390527</v>
      </c>
    </row>
    <row r="160" spans="1:60">
      <c r="A160" s="38">
        <v>159</v>
      </c>
      <c r="B160" s="38">
        <v>91</v>
      </c>
      <c r="C160" s="38">
        <v>2015</v>
      </c>
      <c r="D160" s="38" t="s">
        <v>259</v>
      </c>
      <c r="E160" s="38" t="s">
        <v>261</v>
      </c>
      <c r="F160" s="38" t="s">
        <v>56</v>
      </c>
      <c r="G160" s="38" t="s">
        <v>57</v>
      </c>
      <c r="H160" s="38">
        <v>1382830</v>
      </c>
      <c r="I160" s="38" t="s">
        <v>58</v>
      </c>
      <c r="U160" s="38">
        <v>80044.16</v>
      </c>
      <c r="V160" s="38">
        <v>128737.84</v>
      </c>
      <c r="W160" s="38">
        <v>75.94</v>
      </c>
      <c r="AF160" s="38">
        <v>947058</v>
      </c>
      <c r="AG160" s="38">
        <v>0</v>
      </c>
      <c r="AH160" s="38">
        <v>1458468</v>
      </c>
      <c r="AP160" s="38">
        <v>80044.16</v>
      </c>
      <c r="AQ160" s="38">
        <v>77834.94</v>
      </c>
      <c r="AR160" s="38">
        <v>297596.31</v>
      </c>
      <c r="AS160" s="38">
        <v>297354.03</v>
      </c>
      <c r="AT160" s="38">
        <v>242.28</v>
      </c>
      <c r="BC160" s="38">
        <v>498057.802</v>
      </c>
      <c r="BD160" s="38">
        <v>10699.5078</v>
      </c>
      <c r="BF160" s="38">
        <v>884189</v>
      </c>
      <c r="BG160" s="39">
        <f t="shared" si="4"/>
        <v>0.0880297538196019</v>
      </c>
      <c r="BH160" s="39">
        <f t="shared" si="5"/>
        <v>0.336575449366595</v>
      </c>
    </row>
    <row r="161" spans="1:60">
      <c r="A161" s="38">
        <v>160</v>
      </c>
      <c r="B161" s="38">
        <v>92</v>
      </c>
      <c r="C161" s="38">
        <v>2015</v>
      </c>
      <c r="D161" s="38" t="s">
        <v>262</v>
      </c>
      <c r="E161" s="38" t="s">
        <v>263</v>
      </c>
      <c r="F161" s="38" t="s">
        <v>56</v>
      </c>
      <c r="G161" s="38" t="s">
        <v>57</v>
      </c>
      <c r="H161" s="38">
        <v>967328.6</v>
      </c>
      <c r="I161" s="38" t="s">
        <v>58</v>
      </c>
      <c r="U161" s="38">
        <v>58771.4</v>
      </c>
      <c r="V161" s="38">
        <v>135040.63</v>
      </c>
      <c r="W161" s="38">
        <v>171.426</v>
      </c>
      <c r="AF161" s="38">
        <v>876780.05</v>
      </c>
      <c r="AG161" s="38">
        <v>0</v>
      </c>
      <c r="AH161" s="38">
        <v>0</v>
      </c>
      <c r="AP161" s="38">
        <v>58771.4</v>
      </c>
      <c r="AQ161" s="38">
        <v>57149.3094</v>
      </c>
      <c r="AR161" s="38">
        <v>276605.013</v>
      </c>
      <c r="AS161" s="38">
        <v>276060.1861</v>
      </c>
      <c r="AT161" s="38">
        <v>544.8231</v>
      </c>
      <c r="BC161" s="38">
        <v>447942.1337</v>
      </c>
      <c r="BD161" s="38">
        <v>0</v>
      </c>
      <c r="BF161" s="38">
        <v>781696</v>
      </c>
      <c r="BG161" s="39">
        <f t="shared" si="4"/>
        <v>0.0731093793495169</v>
      </c>
      <c r="BH161" s="39">
        <f t="shared" si="5"/>
        <v>0.353852409376535</v>
      </c>
    </row>
    <row r="162" spans="1:60">
      <c r="A162" s="38">
        <v>161</v>
      </c>
      <c r="B162" s="38">
        <v>93</v>
      </c>
      <c r="C162" s="38">
        <v>2015</v>
      </c>
      <c r="D162" s="38" t="s">
        <v>264</v>
      </c>
      <c r="E162" s="38" t="s">
        <v>263</v>
      </c>
      <c r="F162" s="38" t="s">
        <v>56</v>
      </c>
      <c r="G162" s="38" t="s">
        <v>57</v>
      </c>
      <c r="H162" s="38">
        <v>403946.16</v>
      </c>
      <c r="I162" s="38" t="s">
        <v>58</v>
      </c>
      <c r="U162" s="38">
        <v>56757.99</v>
      </c>
      <c r="V162" s="38">
        <v>71118.93</v>
      </c>
      <c r="W162" s="38">
        <v>155.6529</v>
      </c>
      <c r="AF162" s="38">
        <v>511445.34</v>
      </c>
      <c r="AG162" s="38">
        <v>0</v>
      </c>
      <c r="AH162" s="38">
        <v>0</v>
      </c>
      <c r="AP162" s="38">
        <v>56757.99</v>
      </c>
      <c r="AQ162" s="38">
        <v>55191.4695</v>
      </c>
      <c r="AR162" s="38">
        <v>154306.264</v>
      </c>
      <c r="AS162" s="38">
        <v>153811.1884</v>
      </c>
      <c r="AT162" s="38">
        <v>495.0763</v>
      </c>
      <c r="BC162" s="38">
        <v>274884.8854</v>
      </c>
      <c r="BD162" s="38">
        <v>0</v>
      </c>
      <c r="BF162" s="38">
        <v>484383</v>
      </c>
      <c r="BG162" s="39">
        <f t="shared" si="4"/>
        <v>0.113941797090319</v>
      </c>
      <c r="BH162" s="39">
        <f t="shared" si="5"/>
        <v>0.318562509419199</v>
      </c>
    </row>
    <row r="163" spans="1:60">
      <c r="A163" s="38">
        <v>162</v>
      </c>
      <c r="B163" s="38">
        <v>94</v>
      </c>
      <c r="C163" s="38">
        <v>2013</v>
      </c>
      <c r="D163" s="38" t="s">
        <v>184</v>
      </c>
      <c r="E163" s="38" t="s">
        <v>265</v>
      </c>
      <c r="F163" s="38" t="s">
        <v>56</v>
      </c>
      <c r="G163" s="38" t="s">
        <v>57</v>
      </c>
      <c r="H163" s="38">
        <v>1541192</v>
      </c>
      <c r="I163" s="38" t="s">
        <v>58</v>
      </c>
      <c r="J163" s="38" t="s">
        <v>116</v>
      </c>
      <c r="K163" s="38" t="s">
        <v>72</v>
      </c>
      <c r="L163" s="38" t="s">
        <v>79</v>
      </c>
      <c r="M163" s="38" t="s">
        <v>173</v>
      </c>
      <c r="N163" s="38" t="s">
        <v>59</v>
      </c>
      <c r="O163" s="38" t="s">
        <v>192</v>
      </c>
      <c r="P163" s="38" t="s">
        <v>70</v>
      </c>
      <c r="U163" s="38">
        <v>122932</v>
      </c>
      <c r="V163" s="38">
        <v>265103</v>
      </c>
      <c r="W163" s="38">
        <v>353.45</v>
      </c>
      <c r="AF163" s="38">
        <v>1829672</v>
      </c>
      <c r="AG163" s="38">
        <v>0</v>
      </c>
      <c r="AH163" s="38">
        <v>2781100</v>
      </c>
      <c r="AP163" s="38">
        <v>122932</v>
      </c>
      <c r="AQ163" s="38">
        <v>64625.22</v>
      </c>
      <c r="AR163" s="38">
        <v>627651.88</v>
      </c>
      <c r="AS163" s="38">
        <v>626546.47</v>
      </c>
      <c r="AT163" s="38">
        <v>1105.41</v>
      </c>
      <c r="BC163" s="38">
        <v>1013565.1</v>
      </c>
      <c r="BD163" s="38">
        <v>20394.73</v>
      </c>
      <c r="BF163" s="38">
        <v>1726237</v>
      </c>
      <c r="BG163" s="39">
        <f t="shared" si="4"/>
        <v>0.0374370494897282</v>
      </c>
      <c r="BH163" s="39">
        <f t="shared" si="5"/>
        <v>0.363595427510823</v>
      </c>
    </row>
    <row r="164" spans="1:60">
      <c r="A164" s="38">
        <v>163</v>
      </c>
      <c r="B164" s="38">
        <v>94</v>
      </c>
      <c r="C164" s="38">
        <v>2014</v>
      </c>
      <c r="D164" s="38" t="s">
        <v>184</v>
      </c>
      <c r="E164" s="38" t="s">
        <v>265</v>
      </c>
      <c r="F164" s="38" t="s">
        <v>56</v>
      </c>
      <c r="G164" s="38" t="s">
        <v>57</v>
      </c>
      <c r="H164" s="38">
        <v>1600034</v>
      </c>
      <c r="I164" s="38" t="s">
        <v>58</v>
      </c>
      <c r="J164" s="38" t="s">
        <v>116</v>
      </c>
      <c r="K164" s="38" t="s">
        <v>72</v>
      </c>
      <c r="L164" s="38" t="s">
        <v>79</v>
      </c>
      <c r="M164" s="38" t="s">
        <v>173</v>
      </c>
      <c r="N164" s="38" t="s">
        <v>59</v>
      </c>
      <c r="O164" s="38" t="s">
        <v>192</v>
      </c>
      <c r="P164" s="38" t="s">
        <v>70</v>
      </c>
      <c r="U164" s="38">
        <v>118194</v>
      </c>
      <c r="V164" s="38">
        <v>278712</v>
      </c>
      <c r="W164" s="38">
        <v>253.23</v>
      </c>
      <c r="AF164" s="38">
        <v>1914585</v>
      </c>
      <c r="AG164" s="38">
        <v>0</v>
      </c>
      <c r="AH164" s="38">
        <v>2910170</v>
      </c>
      <c r="AP164" s="38">
        <v>118194</v>
      </c>
      <c r="AQ164" s="38">
        <v>62134.94</v>
      </c>
      <c r="AR164" s="38">
        <v>669255.68</v>
      </c>
      <c r="AS164" s="38">
        <v>668463.71</v>
      </c>
      <c r="AT164" s="38">
        <v>791.97</v>
      </c>
      <c r="BC164" s="38">
        <v>1060092.04</v>
      </c>
      <c r="BD164" s="38">
        <v>21341.25</v>
      </c>
      <c r="BF164" s="38">
        <v>1812824</v>
      </c>
      <c r="BG164" s="39">
        <f t="shared" si="4"/>
        <v>0.0342752192159857</v>
      </c>
      <c r="BH164" s="39">
        <f t="shared" si="5"/>
        <v>0.369178519260557</v>
      </c>
    </row>
    <row r="165" spans="1:60">
      <c r="A165" s="38">
        <v>164</v>
      </c>
      <c r="B165" s="38">
        <v>94</v>
      </c>
      <c r="C165" s="38">
        <v>2015</v>
      </c>
      <c r="D165" s="38" t="s">
        <v>184</v>
      </c>
      <c r="E165" s="38" t="s">
        <v>265</v>
      </c>
      <c r="F165" s="38" t="s">
        <v>56</v>
      </c>
      <c r="G165" s="38" t="s">
        <v>57</v>
      </c>
      <c r="H165" s="38">
        <v>1566700</v>
      </c>
      <c r="I165" s="38" t="s">
        <v>58</v>
      </c>
      <c r="J165" s="38" t="s">
        <v>116</v>
      </c>
      <c r="K165" s="38" t="s">
        <v>72</v>
      </c>
      <c r="L165" s="38" t="s">
        <v>79</v>
      </c>
      <c r="M165" s="38" t="s">
        <v>173</v>
      </c>
      <c r="N165" s="38" t="s">
        <v>59</v>
      </c>
      <c r="O165" s="38" t="s">
        <v>192</v>
      </c>
      <c r="P165" s="38" t="s">
        <v>70</v>
      </c>
      <c r="U165" s="38">
        <v>117978</v>
      </c>
      <c r="V165" s="38">
        <v>229538</v>
      </c>
      <c r="W165" s="38">
        <v>66.14</v>
      </c>
      <c r="AF165" s="38">
        <v>1848155</v>
      </c>
      <c r="AG165" s="38">
        <v>0</v>
      </c>
      <c r="AH165" s="38">
        <v>2809196</v>
      </c>
      <c r="AP165" s="38">
        <v>117978</v>
      </c>
      <c r="AQ165" s="38">
        <v>62021.21</v>
      </c>
      <c r="AR165" s="38">
        <v>536371.85</v>
      </c>
      <c r="AS165" s="38">
        <v>536165</v>
      </c>
      <c r="AT165" s="38">
        <v>206.85</v>
      </c>
      <c r="BC165" s="38">
        <v>980036.99</v>
      </c>
      <c r="BD165" s="38">
        <v>20600.77</v>
      </c>
      <c r="BF165" s="38">
        <v>1599031</v>
      </c>
      <c r="BG165" s="39">
        <f t="shared" si="4"/>
        <v>0.0387867464733329</v>
      </c>
      <c r="BH165" s="39">
        <f t="shared" si="5"/>
        <v>0.335435554407638</v>
      </c>
    </row>
    <row r="166" spans="1:60">
      <c r="A166" s="38">
        <v>165</v>
      </c>
      <c r="B166" s="38">
        <v>95</v>
      </c>
      <c r="C166" s="38">
        <v>2015</v>
      </c>
      <c r="D166" s="38" t="s">
        <v>266</v>
      </c>
      <c r="E166" s="38" t="s">
        <v>267</v>
      </c>
      <c r="F166" s="38" t="s">
        <v>56</v>
      </c>
      <c r="G166" s="38" t="s">
        <v>57</v>
      </c>
      <c r="H166" s="38">
        <v>1566700</v>
      </c>
      <c r="I166" s="38" t="s">
        <v>58</v>
      </c>
      <c r="U166" s="38">
        <v>153798940</v>
      </c>
      <c r="V166" s="38">
        <v>229538</v>
      </c>
      <c r="W166" s="38">
        <v>66.14</v>
      </c>
      <c r="AF166" s="38">
        <v>1848155</v>
      </c>
      <c r="AG166" s="38">
        <v>0</v>
      </c>
      <c r="AH166" s="38">
        <v>0</v>
      </c>
      <c r="AP166" s="38">
        <v>153798940</v>
      </c>
      <c r="AQ166" s="38">
        <v>149554.1</v>
      </c>
      <c r="AR166" s="38">
        <v>540193.2</v>
      </c>
      <c r="AS166" s="38">
        <v>539988.3696</v>
      </c>
      <c r="AT166" s="38">
        <v>204.8224</v>
      </c>
      <c r="BC166" s="38">
        <v>1000637.8</v>
      </c>
      <c r="BD166" s="38">
        <v>0</v>
      </c>
      <c r="BF166" s="38">
        <v>1690385</v>
      </c>
      <c r="BG166" s="39">
        <f t="shared" si="4"/>
        <v>0.0884733951141308</v>
      </c>
      <c r="BH166" s="39">
        <f t="shared" si="5"/>
        <v>0.319568145718283</v>
      </c>
    </row>
    <row r="167" spans="1:60">
      <c r="A167" s="38">
        <v>166</v>
      </c>
      <c r="B167" s="38">
        <v>96</v>
      </c>
      <c r="C167" s="38">
        <v>2013</v>
      </c>
      <c r="D167" s="38" t="s">
        <v>246</v>
      </c>
      <c r="E167" s="38" t="s">
        <v>268</v>
      </c>
      <c r="F167" s="38" t="s">
        <v>56</v>
      </c>
      <c r="G167" s="38" t="s">
        <v>57</v>
      </c>
      <c r="H167" s="38">
        <v>832750</v>
      </c>
      <c r="I167" s="38" t="s">
        <v>58</v>
      </c>
      <c r="J167" s="38" t="s">
        <v>72</v>
      </c>
      <c r="K167" s="38" t="s">
        <v>145</v>
      </c>
      <c r="L167" s="38" t="s">
        <v>173</v>
      </c>
      <c r="M167" s="38" t="s">
        <v>59</v>
      </c>
      <c r="N167" s="38" t="s">
        <v>81</v>
      </c>
      <c r="U167" s="38">
        <v>59657.6</v>
      </c>
      <c r="W167" s="38">
        <v>329.17</v>
      </c>
      <c r="AE167" s="38">
        <v>110832</v>
      </c>
      <c r="AF167" s="38">
        <v>657793</v>
      </c>
      <c r="AG167" s="38">
        <v>28.64</v>
      </c>
      <c r="AH167" s="38">
        <v>995831</v>
      </c>
      <c r="AP167" s="38">
        <v>59657.6</v>
      </c>
      <c r="AQ167" s="38">
        <v>31362</v>
      </c>
      <c r="AR167" s="38">
        <v>218394.98</v>
      </c>
      <c r="AT167" s="38">
        <v>1029.48</v>
      </c>
      <c r="BB167" s="38">
        <v>217365.5</v>
      </c>
      <c r="BC167" s="38">
        <v>352715.51</v>
      </c>
      <c r="BD167" s="38">
        <v>7302.76</v>
      </c>
      <c r="BF167" s="38">
        <v>609775</v>
      </c>
      <c r="BG167" s="39">
        <f t="shared" si="4"/>
        <v>0.0514320856053462</v>
      </c>
      <c r="BH167" s="39">
        <f t="shared" si="5"/>
        <v>0.358156664343405</v>
      </c>
    </row>
    <row r="168" spans="1:60">
      <c r="A168" s="38">
        <v>167</v>
      </c>
      <c r="B168" s="38">
        <v>96</v>
      </c>
      <c r="C168" s="38">
        <v>2014</v>
      </c>
      <c r="D168" s="38" t="s">
        <v>246</v>
      </c>
      <c r="E168" s="38" t="s">
        <v>268</v>
      </c>
      <c r="F168" s="38" t="s">
        <v>56</v>
      </c>
      <c r="G168" s="38" t="s">
        <v>57</v>
      </c>
      <c r="H168" s="38">
        <v>802531</v>
      </c>
      <c r="I168" s="38" t="s">
        <v>58</v>
      </c>
      <c r="J168" s="38" t="s">
        <v>72</v>
      </c>
      <c r="K168" s="38" t="s">
        <v>145</v>
      </c>
      <c r="L168" s="38" t="s">
        <v>173</v>
      </c>
      <c r="M168" s="38" t="s">
        <v>59</v>
      </c>
      <c r="N168" s="38" t="s">
        <v>81</v>
      </c>
      <c r="U168" s="38">
        <v>58943.3</v>
      </c>
      <c r="W168" s="38">
        <v>319.47</v>
      </c>
      <c r="AE168" s="38">
        <v>104342</v>
      </c>
      <c r="AF168" s="38">
        <v>626307.77</v>
      </c>
      <c r="AG168" s="38">
        <v>11.78</v>
      </c>
      <c r="AH168" s="38">
        <v>939205.5</v>
      </c>
      <c r="AP168" s="38">
        <v>58943.3</v>
      </c>
      <c r="AQ168" s="38">
        <v>30986.49</v>
      </c>
      <c r="AR168" s="38">
        <v>209210.43</v>
      </c>
      <c r="AT168" s="38">
        <v>999.14</v>
      </c>
      <c r="BB168" s="38">
        <v>208211.29</v>
      </c>
      <c r="BC168" s="38">
        <v>335696.56</v>
      </c>
      <c r="BD168" s="38">
        <v>6887.51</v>
      </c>
      <c r="BF168" s="38">
        <v>582781</v>
      </c>
      <c r="BG168" s="39">
        <f t="shared" si="4"/>
        <v>0.0531700415765099</v>
      </c>
      <c r="BH168" s="39">
        <f t="shared" si="5"/>
        <v>0.358986360227942</v>
      </c>
    </row>
    <row r="169" spans="1:60">
      <c r="A169" s="38">
        <v>168</v>
      </c>
      <c r="B169" s="38">
        <v>96</v>
      </c>
      <c r="C169" s="38">
        <v>2015</v>
      </c>
      <c r="D169" s="38" t="s">
        <v>246</v>
      </c>
      <c r="E169" s="38" t="s">
        <v>268</v>
      </c>
      <c r="F169" s="38" t="s">
        <v>56</v>
      </c>
      <c r="G169" s="38" t="s">
        <v>57</v>
      </c>
      <c r="H169" s="38">
        <v>795892</v>
      </c>
      <c r="I169" s="38" t="s">
        <v>58</v>
      </c>
      <c r="J169" s="38" t="s">
        <v>72</v>
      </c>
      <c r="K169" s="38" t="s">
        <v>145</v>
      </c>
      <c r="L169" s="38" t="s">
        <v>173</v>
      </c>
      <c r="M169" s="38" t="s">
        <v>59</v>
      </c>
      <c r="N169" s="38" t="s">
        <v>81</v>
      </c>
      <c r="U169" s="38">
        <v>54198.1</v>
      </c>
      <c r="W169" s="38">
        <v>204.3</v>
      </c>
      <c r="AE169" s="38">
        <v>97854.61</v>
      </c>
      <c r="AF169" s="38">
        <v>612731.28</v>
      </c>
      <c r="AG169" s="38">
        <v>15.35</v>
      </c>
      <c r="AH169" s="38">
        <v>926876.21</v>
      </c>
      <c r="AP169" s="38">
        <v>54198.1</v>
      </c>
      <c r="AQ169" s="38">
        <v>28491.94</v>
      </c>
      <c r="AR169" s="38">
        <v>197033.31</v>
      </c>
      <c r="AT169" s="38">
        <v>638.95</v>
      </c>
      <c r="BB169" s="38">
        <v>196394.36</v>
      </c>
      <c r="BC169" s="38">
        <v>327333.64</v>
      </c>
      <c r="BD169" s="38">
        <v>6797.09</v>
      </c>
      <c r="BF169" s="38">
        <v>559656</v>
      </c>
      <c r="BG169" s="39">
        <f t="shared" si="4"/>
        <v>0.0509097374101234</v>
      </c>
      <c r="BH169" s="39">
        <f t="shared" si="5"/>
        <v>0.352061462755693</v>
      </c>
    </row>
    <row r="170" spans="1:60">
      <c r="A170" s="38">
        <v>169</v>
      </c>
      <c r="B170" s="38">
        <v>97</v>
      </c>
      <c r="C170" s="38">
        <v>2015</v>
      </c>
      <c r="D170" s="38" t="s">
        <v>269</v>
      </c>
      <c r="E170" s="38" t="s">
        <v>270</v>
      </c>
      <c r="F170" s="38" t="s">
        <v>56</v>
      </c>
      <c r="G170" s="38" t="s">
        <v>57</v>
      </c>
      <c r="H170" s="38">
        <v>507517.9</v>
      </c>
      <c r="I170" s="38" t="s">
        <v>58</v>
      </c>
      <c r="U170" s="38">
        <v>39496.38</v>
      </c>
      <c r="V170" s="38">
        <v>78164.09</v>
      </c>
      <c r="W170" s="38">
        <v>137.79</v>
      </c>
      <c r="AF170" s="38">
        <v>710118.82</v>
      </c>
      <c r="AG170" s="38">
        <v>0</v>
      </c>
      <c r="AH170" s="38">
        <v>812944.16</v>
      </c>
      <c r="AP170" s="38">
        <v>39496.38</v>
      </c>
      <c r="AQ170" s="38">
        <v>38406.2799</v>
      </c>
      <c r="AR170" s="38">
        <v>164618.988</v>
      </c>
      <c r="AS170" s="38">
        <v>164186.1877</v>
      </c>
      <c r="AT170" s="38">
        <v>432.8009</v>
      </c>
      <c r="BD170" s="38">
        <v>270234.1013</v>
      </c>
      <c r="BF170" s="38">
        <v>473259</v>
      </c>
      <c r="BG170" s="39">
        <f t="shared" si="4"/>
        <v>0.0811527723719993</v>
      </c>
      <c r="BH170" s="39">
        <f t="shared" si="5"/>
        <v>0.347841220135275</v>
      </c>
    </row>
    <row r="171" ht="15.5" spans="1:60">
      <c r="A171" s="38">
        <v>170</v>
      </c>
      <c r="B171" s="38">
        <v>98</v>
      </c>
      <c r="C171" s="38">
        <v>2013</v>
      </c>
      <c r="D171" s="38" t="s">
        <v>269</v>
      </c>
      <c r="E171" s="38" t="s">
        <v>271</v>
      </c>
      <c r="F171" s="38" t="s">
        <v>56</v>
      </c>
      <c r="G171" s="38" t="s">
        <v>57</v>
      </c>
      <c r="H171" s="38">
        <v>764632.01</v>
      </c>
      <c r="I171" s="38" t="s">
        <v>58</v>
      </c>
      <c r="J171" s="38" t="s">
        <v>72</v>
      </c>
      <c r="K171" s="38" t="s">
        <v>79</v>
      </c>
      <c r="L171" s="38" t="s">
        <v>173</v>
      </c>
      <c r="M171" s="38" t="s">
        <v>272</v>
      </c>
      <c r="N171" s="38" t="s">
        <v>118</v>
      </c>
      <c r="O171" s="38" t="s">
        <v>70</v>
      </c>
      <c r="U171" s="38">
        <v>70897.78</v>
      </c>
      <c r="V171" s="38">
        <v>106811.63</v>
      </c>
      <c r="W171" s="38">
        <v>250.7</v>
      </c>
      <c r="AF171" s="38">
        <v>742414.44</v>
      </c>
      <c r="AG171" s="38">
        <v>0</v>
      </c>
      <c r="AH171" s="38">
        <v>1156938.45</v>
      </c>
      <c r="AP171" s="38">
        <v>70897.78</v>
      </c>
      <c r="AQ171" s="38">
        <v>37270.9629</v>
      </c>
      <c r="AR171" s="38">
        <v>233234.118</v>
      </c>
      <c r="AS171" s="38">
        <v>232450.5499</v>
      </c>
      <c r="AT171" s="38">
        <v>783.5681</v>
      </c>
      <c r="BC171" s="38">
        <v>405043.1826</v>
      </c>
      <c r="BD171" s="38">
        <v>4242.1077</v>
      </c>
      <c r="BF171" s="38">
        <v>679790</v>
      </c>
      <c r="BG171" s="39">
        <f t="shared" si="4"/>
        <v>0.0548271714794275</v>
      </c>
      <c r="BH171" s="39">
        <f t="shared" si="5"/>
        <v>0.343097306521132</v>
      </c>
    </row>
    <row r="172" ht="15.5" spans="1:60">
      <c r="A172" s="38">
        <v>171</v>
      </c>
      <c r="B172" s="38">
        <v>98</v>
      </c>
      <c r="C172" s="38">
        <v>2014</v>
      </c>
      <c r="D172" s="38" t="s">
        <v>269</v>
      </c>
      <c r="E172" s="38" t="s">
        <v>271</v>
      </c>
      <c r="F172" s="38" t="s">
        <v>56</v>
      </c>
      <c r="G172" s="38" t="s">
        <v>57</v>
      </c>
      <c r="H172" s="38">
        <v>744125.55</v>
      </c>
      <c r="I172" s="38" t="s">
        <v>58</v>
      </c>
      <c r="J172" s="38" t="s">
        <v>72</v>
      </c>
      <c r="K172" s="38" t="s">
        <v>79</v>
      </c>
      <c r="L172" s="38" t="s">
        <v>173</v>
      </c>
      <c r="M172" s="38" t="s">
        <v>272</v>
      </c>
      <c r="N172" s="38" t="s">
        <v>118</v>
      </c>
      <c r="O172" s="38" t="s">
        <v>70</v>
      </c>
      <c r="U172" s="38">
        <v>61145.7</v>
      </c>
      <c r="V172" s="38">
        <v>110471.1735</v>
      </c>
      <c r="W172" s="38">
        <v>133.531</v>
      </c>
      <c r="AF172" s="38">
        <v>738536.04</v>
      </c>
      <c r="AG172" s="38">
        <v>0</v>
      </c>
      <c r="AH172" s="38">
        <v>1131974.14</v>
      </c>
      <c r="AP172" s="38">
        <v>61145.7</v>
      </c>
      <c r="AQ172" s="38">
        <v>32144.2945</v>
      </c>
      <c r="AR172" s="38">
        <v>229047.7815</v>
      </c>
      <c r="AS172" s="38">
        <v>228630.2662</v>
      </c>
      <c r="AT172" s="38">
        <v>417.5153</v>
      </c>
      <c r="BC172" s="38">
        <v>403445.3567</v>
      </c>
      <c r="BD172" s="38">
        <v>4150.5718</v>
      </c>
      <c r="BF172" s="38">
        <v>668788</v>
      </c>
      <c r="BG172" s="39">
        <f t="shared" si="4"/>
        <v>0.0480635036812861</v>
      </c>
      <c r="BH172" s="39">
        <f t="shared" si="5"/>
        <v>0.342481894860554</v>
      </c>
    </row>
    <row r="173" ht="15.5" spans="1:60">
      <c r="A173" s="38">
        <v>172</v>
      </c>
      <c r="B173" s="38">
        <v>98</v>
      </c>
      <c r="C173" s="38">
        <v>2015</v>
      </c>
      <c r="D173" s="38" t="s">
        <v>269</v>
      </c>
      <c r="E173" s="38" t="s">
        <v>271</v>
      </c>
      <c r="F173" s="38" t="s">
        <v>56</v>
      </c>
      <c r="G173" s="38" t="s">
        <v>57</v>
      </c>
      <c r="H173" s="38">
        <v>507517.9</v>
      </c>
      <c r="I173" s="38" t="s">
        <v>58</v>
      </c>
      <c r="J173" s="38" t="s">
        <v>72</v>
      </c>
      <c r="K173" s="38" t="s">
        <v>79</v>
      </c>
      <c r="L173" s="38" t="s">
        <v>173</v>
      </c>
      <c r="M173" s="38" t="s">
        <v>272</v>
      </c>
      <c r="N173" s="38" t="s">
        <v>118</v>
      </c>
      <c r="O173" s="38" t="s">
        <v>70</v>
      </c>
      <c r="U173" s="38">
        <v>39496.38</v>
      </c>
      <c r="V173" s="38">
        <v>78164.09</v>
      </c>
      <c r="W173" s="38">
        <v>137.79</v>
      </c>
      <c r="AF173" s="38">
        <v>531218.32</v>
      </c>
      <c r="AG173" s="38">
        <v>13.2899</v>
      </c>
      <c r="AH173" s="38">
        <v>817675.51</v>
      </c>
      <c r="AP173" s="38">
        <v>39496.38</v>
      </c>
      <c r="AQ173" s="38">
        <v>20763.247</v>
      </c>
      <c r="AR173" s="38">
        <v>163006.9258</v>
      </c>
      <c r="AS173" s="38">
        <v>162575.9875</v>
      </c>
      <c r="AT173" s="38">
        <v>430.9383</v>
      </c>
      <c r="BC173" s="38">
        <v>283430.6246</v>
      </c>
      <c r="BD173" s="38">
        <v>2998.1435</v>
      </c>
      <c r="BF173" s="38">
        <v>470199</v>
      </c>
      <c r="BG173" s="39">
        <f t="shared" si="4"/>
        <v>0.0441584244117916</v>
      </c>
      <c r="BH173" s="39">
        <f t="shared" si="5"/>
        <v>0.346676462093709</v>
      </c>
    </row>
    <row r="174" ht="15" spans="1:60">
      <c r="A174" s="38">
        <v>173</v>
      </c>
      <c r="B174" s="38">
        <v>99</v>
      </c>
      <c r="C174" s="38">
        <v>2013</v>
      </c>
      <c r="D174" s="38" t="s">
        <v>273</v>
      </c>
      <c r="E174" s="38" t="s">
        <v>274</v>
      </c>
      <c r="F174" s="38" t="s">
        <v>56</v>
      </c>
      <c r="G174" s="38" t="s">
        <v>57</v>
      </c>
      <c r="H174" s="38">
        <v>405343</v>
      </c>
      <c r="I174" s="38" t="s">
        <v>58</v>
      </c>
      <c r="J174" s="38" t="s">
        <v>72</v>
      </c>
      <c r="K174" s="38" t="s">
        <v>79</v>
      </c>
      <c r="L174" s="38" t="s">
        <v>173</v>
      </c>
      <c r="M174" s="38" t="s">
        <v>272</v>
      </c>
      <c r="N174" s="38" t="s">
        <v>118</v>
      </c>
      <c r="O174" s="38" t="s">
        <v>70</v>
      </c>
      <c r="U174" s="38">
        <v>28316.19</v>
      </c>
      <c r="V174" s="38">
        <v>13268.15</v>
      </c>
      <c r="AP174" s="38">
        <v>28316.19</v>
      </c>
      <c r="AQ174" s="38">
        <v>14885.8</v>
      </c>
      <c r="AR174" s="38">
        <v>25162.4</v>
      </c>
      <c r="AS174" s="38">
        <v>25162.4</v>
      </c>
      <c r="BF174" s="38">
        <v>40048</v>
      </c>
      <c r="BG174" s="39">
        <f t="shared" si="4"/>
        <v>0.371698961246504</v>
      </c>
      <c r="BH174" s="39">
        <f t="shared" si="5"/>
        <v>0.628306032760687</v>
      </c>
    </row>
    <row r="175" ht="15" spans="1:60">
      <c r="A175" s="38">
        <v>174</v>
      </c>
      <c r="B175" s="38">
        <v>99</v>
      </c>
      <c r="C175" s="38">
        <v>2014</v>
      </c>
      <c r="D175" s="38" t="s">
        <v>273</v>
      </c>
      <c r="E175" s="38" t="s">
        <v>274</v>
      </c>
      <c r="F175" s="38" t="s">
        <v>56</v>
      </c>
      <c r="G175" s="38" t="s">
        <v>57</v>
      </c>
      <c r="H175" s="38">
        <v>344369</v>
      </c>
      <c r="I175" s="38" t="s">
        <v>58</v>
      </c>
      <c r="J175" s="38" t="s">
        <v>72</v>
      </c>
      <c r="K175" s="38" t="s">
        <v>79</v>
      </c>
      <c r="L175" s="38" t="s">
        <v>173</v>
      </c>
      <c r="M175" s="38" t="s">
        <v>272</v>
      </c>
      <c r="N175" s="38" t="s">
        <v>118</v>
      </c>
      <c r="O175" s="38" t="s">
        <v>70</v>
      </c>
      <c r="U175" s="38">
        <v>26717.23</v>
      </c>
      <c r="V175" s="38">
        <v>12504</v>
      </c>
      <c r="AP175" s="38">
        <v>26717.23</v>
      </c>
      <c r="AQ175" s="38">
        <v>14045.2</v>
      </c>
      <c r="AR175" s="38">
        <v>23429.3</v>
      </c>
      <c r="AS175" s="38">
        <v>23429.3</v>
      </c>
      <c r="BF175" s="38">
        <v>37475</v>
      </c>
      <c r="BG175" s="39">
        <f t="shared" si="4"/>
        <v>0.374788525683789</v>
      </c>
      <c r="BH175" s="39">
        <f t="shared" si="5"/>
        <v>0.625198132088059</v>
      </c>
    </row>
    <row r="176" ht="15" spans="1:60">
      <c r="A176" s="38">
        <v>175</v>
      </c>
      <c r="B176" s="38">
        <v>99</v>
      </c>
      <c r="C176" s="38">
        <v>2015</v>
      </c>
      <c r="D176" s="38" t="s">
        <v>273</v>
      </c>
      <c r="E176" s="38" t="s">
        <v>274</v>
      </c>
      <c r="F176" s="38" t="s">
        <v>56</v>
      </c>
      <c r="G176" s="38" t="s">
        <v>57</v>
      </c>
      <c r="H176" s="38">
        <v>261799</v>
      </c>
      <c r="I176" s="38" t="s">
        <v>58</v>
      </c>
      <c r="J176" s="38" t="s">
        <v>72</v>
      </c>
      <c r="K176" s="38" t="s">
        <v>79</v>
      </c>
      <c r="L176" s="38" t="s">
        <v>173</v>
      </c>
      <c r="M176" s="38" t="s">
        <v>272</v>
      </c>
      <c r="N176" s="38" t="s">
        <v>118</v>
      </c>
      <c r="O176" s="38" t="s">
        <v>70</v>
      </c>
      <c r="U176" s="38">
        <v>28118.06</v>
      </c>
      <c r="V176" s="38">
        <v>15403</v>
      </c>
      <c r="AP176" s="38">
        <v>28118.06</v>
      </c>
      <c r="AQ176" s="38">
        <v>14781.7</v>
      </c>
      <c r="AR176" s="38">
        <v>29399.5</v>
      </c>
      <c r="AS176" s="38">
        <v>29399.5</v>
      </c>
      <c r="BF176" s="38">
        <v>44181</v>
      </c>
      <c r="BG176" s="39">
        <f t="shared" si="4"/>
        <v>0.334571422104525</v>
      </c>
      <c r="BH176" s="39">
        <f t="shared" si="5"/>
        <v>0.665433104728277</v>
      </c>
    </row>
    <row r="177" ht="15" spans="1:60">
      <c r="A177" s="38">
        <v>176</v>
      </c>
      <c r="B177" s="38">
        <v>100</v>
      </c>
      <c r="C177" s="38">
        <v>2013</v>
      </c>
      <c r="D177" s="38" t="s">
        <v>247</v>
      </c>
      <c r="E177" s="38" t="s">
        <v>275</v>
      </c>
      <c r="F177" s="38" t="s">
        <v>56</v>
      </c>
      <c r="G177" s="38" t="s">
        <v>57</v>
      </c>
      <c r="H177" s="38">
        <v>956616</v>
      </c>
      <c r="I177" s="38" t="s">
        <v>58</v>
      </c>
      <c r="J177" s="38" t="s">
        <v>72</v>
      </c>
      <c r="K177" s="38" t="s">
        <v>129</v>
      </c>
      <c r="L177" s="38" t="s">
        <v>258</v>
      </c>
      <c r="M177" s="38" t="s">
        <v>173</v>
      </c>
      <c r="N177" s="38" t="s">
        <v>59</v>
      </c>
      <c r="O177" s="38" t="s">
        <v>118</v>
      </c>
      <c r="P177" s="38" t="s">
        <v>70</v>
      </c>
      <c r="U177" s="38">
        <v>66017152</v>
      </c>
      <c r="V177" s="38">
        <v>0</v>
      </c>
      <c r="W177" s="38">
        <v>0</v>
      </c>
      <c r="AE177" s="38">
        <v>101119.8</v>
      </c>
      <c r="AF177" s="38">
        <v>706429.43</v>
      </c>
      <c r="AG177" s="38">
        <v>16.26</v>
      </c>
      <c r="AH177" s="38">
        <v>1130286.9</v>
      </c>
      <c r="AP177" s="38">
        <v>66017152</v>
      </c>
      <c r="AQ177" s="38">
        <v>34705.22</v>
      </c>
      <c r="AR177" s="38">
        <v>235288.44</v>
      </c>
      <c r="AS177" s="38">
        <v>0</v>
      </c>
      <c r="AT177" s="38">
        <v>0</v>
      </c>
      <c r="BB177" s="38">
        <v>235288.44</v>
      </c>
      <c r="BC177" s="38">
        <v>386502.53</v>
      </c>
      <c r="BD177" s="38">
        <v>8288.77</v>
      </c>
      <c r="BF177" s="38">
        <v>664785</v>
      </c>
      <c r="BG177" s="39">
        <f t="shared" si="4"/>
        <v>0.0522051791180607</v>
      </c>
      <c r="BH177" s="39">
        <f t="shared" si="5"/>
        <v>0.353931632031409</v>
      </c>
    </row>
    <row r="178" ht="15" spans="1:60">
      <c r="A178" s="38">
        <v>177</v>
      </c>
      <c r="B178" s="38">
        <v>100</v>
      </c>
      <c r="C178" s="38">
        <v>2014</v>
      </c>
      <c r="D178" s="38" t="s">
        <v>247</v>
      </c>
      <c r="E178" s="38" t="s">
        <v>275</v>
      </c>
      <c r="F178" s="38" t="s">
        <v>56</v>
      </c>
      <c r="G178" s="38" t="s">
        <v>57</v>
      </c>
      <c r="H178" s="38">
        <v>1083317</v>
      </c>
      <c r="I178" s="38" t="s">
        <v>58</v>
      </c>
      <c r="J178" s="38" t="s">
        <v>72</v>
      </c>
      <c r="K178" s="38" t="s">
        <v>129</v>
      </c>
      <c r="L178" s="38" t="s">
        <v>258</v>
      </c>
      <c r="M178" s="38" t="s">
        <v>173</v>
      </c>
      <c r="N178" s="38" t="s">
        <v>59</v>
      </c>
      <c r="O178" s="38" t="s">
        <v>118</v>
      </c>
      <c r="P178" s="38" t="s">
        <v>70</v>
      </c>
      <c r="U178" s="38">
        <v>75208840</v>
      </c>
      <c r="V178" s="38">
        <v>0</v>
      </c>
      <c r="W178" s="38">
        <v>0</v>
      </c>
      <c r="AE178" s="38">
        <v>118281.9</v>
      </c>
      <c r="AF178" s="38">
        <v>869809.56</v>
      </c>
      <c r="AG178" s="38">
        <v>32.3</v>
      </c>
      <c r="AH178" s="38">
        <v>1389247.6</v>
      </c>
      <c r="AP178" s="38">
        <v>75208840</v>
      </c>
      <c r="AQ178" s="38">
        <v>39537.29</v>
      </c>
      <c r="AR178" s="38">
        <v>275829.05</v>
      </c>
      <c r="AS178" s="38">
        <v>0</v>
      </c>
      <c r="AT178" s="38">
        <v>0</v>
      </c>
      <c r="BB178" s="38">
        <v>275829.05</v>
      </c>
      <c r="BC178" s="38">
        <v>472945.44</v>
      </c>
      <c r="BD178" s="38">
        <v>10187.82</v>
      </c>
      <c r="BF178" s="38">
        <v>798500</v>
      </c>
      <c r="BG178" s="39">
        <f t="shared" si="4"/>
        <v>0.0495144520976832</v>
      </c>
      <c r="BH178" s="39">
        <f t="shared" si="5"/>
        <v>0.345434001252348</v>
      </c>
    </row>
    <row r="179" ht="15" spans="1:60">
      <c r="A179" s="38">
        <v>178</v>
      </c>
      <c r="B179" s="38">
        <v>100</v>
      </c>
      <c r="C179" s="38">
        <v>2015</v>
      </c>
      <c r="D179" s="38" t="s">
        <v>247</v>
      </c>
      <c r="E179" s="38" t="s">
        <v>275</v>
      </c>
      <c r="F179" s="38" t="s">
        <v>56</v>
      </c>
      <c r="G179" s="38" t="s">
        <v>57</v>
      </c>
      <c r="H179" s="38">
        <v>972619</v>
      </c>
      <c r="I179" s="38" t="s">
        <v>58</v>
      </c>
      <c r="J179" s="38" t="s">
        <v>72</v>
      </c>
      <c r="K179" s="38" t="s">
        <v>129</v>
      </c>
      <c r="L179" s="38" t="s">
        <v>258</v>
      </c>
      <c r="M179" s="38" t="s">
        <v>173</v>
      </c>
      <c r="N179" s="38" t="s">
        <v>59</v>
      </c>
      <c r="O179" s="38" t="s">
        <v>118</v>
      </c>
      <c r="P179" s="38" t="s">
        <v>70</v>
      </c>
      <c r="U179" s="38">
        <v>67566980</v>
      </c>
      <c r="V179" s="38">
        <v>107370.2</v>
      </c>
      <c r="W179" s="38">
        <v>160</v>
      </c>
      <c r="AE179" s="38">
        <v>0</v>
      </c>
      <c r="AF179" s="38">
        <v>768699.04</v>
      </c>
      <c r="AG179" s="38">
        <v>6.43</v>
      </c>
      <c r="AH179" s="38">
        <v>1214544.5</v>
      </c>
      <c r="AP179" s="38">
        <v>67566980</v>
      </c>
      <c r="AQ179" s="38">
        <v>32953.49</v>
      </c>
      <c r="AR179" s="38">
        <v>247922.39</v>
      </c>
      <c r="AS179" s="38">
        <v>247421.99</v>
      </c>
      <c r="AT179" s="38">
        <v>500.4</v>
      </c>
      <c r="BB179" s="38">
        <v>0</v>
      </c>
      <c r="BC179" s="38">
        <v>417472.96</v>
      </c>
      <c r="BD179" s="38">
        <v>8906.66</v>
      </c>
      <c r="BF179" s="38">
        <v>707256</v>
      </c>
      <c r="BG179" s="39">
        <f t="shared" si="4"/>
        <v>0.0465934399990951</v>
      </c>
      <c r="BH179" s="39">
        <f t="shared" si="5"/>
        <v>0.350541232594704</v>
      </c>
    </row>
    <row r="180" spans="1:60">
      <c r="A180" s="38">
        <v>179</v>
      </c>
      <c r="B180" s="38">
        <v>101</v>
      </c>
      <c r="C180" s="38">
        <v>2015</v>
      </c>
      <c r="D180" s="38" t="s">
        <v>143</v>
      </c>
      <c r="E180" s="38" t="s">
        <v>144</v>
      </c>
      <c r="F180" s="38" t="s">
        <v>56</v>
      </c>
      <c r="G180" s="38" t="s">
        <v>57</v>
      </c>
      <c r="H180" s="38">
        <v>3824814.64</v>
      </c>
      <c r="I180" s="38" t="s">
        <v>58</v>
      </c>
      <c r="U180" s="38">
        <v>282311671</v>
      </c>
      <c r="V180" s="38">
        <v>523283.12</v>
      </c>
      <c r="W180" s="38">
        <v>397.04</v>
      </c>
      <c r="AF180" s="38">
        <v>3415685.09</v>
      </c>
      <c r="AG180" s="38">
        <v>0</v>
      </c>
      <c r="AH180" s="38">
        <v>5179264.01</v>
      </c>
      <c r="AP180" s="38">
        <v>282311671</v>
      </c>
      <c r="AQ180" s="38">
        <v>274519.9</v>
      </c>
      <c r="AR180" s="38">
        <v>1069480.6</v>
      </c>
      <c r="AS180" s="38">
        <v>1068220.8</v>
      </c>
      <c r="AT180" s="38">
        <v>1259.8</v>
      </c>
      <c r="BC180" s="38">
        <v>1819547.53</v>
      </c>
      <c r="BD180" s="38">
        <v>37981.2694</v>
      </c>
      <c r="BF180" s="38">
        <v>3201529</v>
      </c>
      <c r="BG180" s="39">
        <f t="shared" si="4"/>
        <v>0.0857464980014237</v>
      </c>
      <c r="BH180" s="39">
        <f t="shared" si="5"/>
        <v>0.334053072766169</v>
      </c>
    </row>
    <row r="181" ht="15" spans="1:60">
      <c r="A181" s="38">
        <v>180</v>
      </c>
      <c r="B181" s="38">
        <v>102</v>
      </c>
      <c r="C181" s="38">
        <v>2013</v>
      </c>
      <c r="D181" s="38" t="s">
        <v>276</v>
      </c>
      <c r="E181" s="38" t="s">
        <v>277</v>
      </c>
      <c r="F181" s="38" t="s">
        <v>56</v>
      </c>
      <c r="G181" s="38" t="s">
        <v>57</v>
      </c>
      <c r="H181" s="38">
        <v>1513760.6</v>
      </c>
      <c r="I181" s="38" t="s">
        <v>58</v>
      </c>
      <c r="J181" s="38" t="s">
        <v>72</v>
      </c>
      <c r="K181" s="38" t="s">
        <v>129</v>
      </c>
      <c r="L181" s="38" t="s">
        <v>79</v>
      </c>
      <c r="M181" s="38" t="s">
        <v>173</v>
      </c>
      <c r="N181" s="38" t="s">
        <v>59</v>
      </c>
      <c r="O181" s="38" t="s">
        <v>118</v>
      </c>
      <c r="P181" s="38" t="s">
        <v>70</v>
      </c>
      <c r="U181" s="38">
        <v>69502.63</v>
      </c>
      <c r="V181" s="38">
        <v>3503</v>
      </c>
      <c r="AP181" s="38">
        <v>69502.63</v>
      </c>
      <c r="AQ181" s="38">
        <v>36537.5</v>
      </c>
      <c r="AR181" s="38">
        <v>5988.4</v>
      </c>
      <c r="AS181" s="38">
        <v>5988.4</v>
      </c>
      <c r="BF181" s="38">
        <v>42526</v>
      </c>
      <c r="BG181" s="39">
        <f t="shared" si="4"/>
        <v>0.859180266190095</v>
      </c>
      <c r="BH181" s="39">
        <f t="shared" si="5"/>
        <v>0.140817382307294</v>
      </c>
    </row>
    <row r="182" ht="15" spans="1:60">
      <c r="A182" s="38">
        <v>181</v>
      </c>
      <c r="B182" s="38">
        <v>102</v>
      </c>
      <c r="C182" s="38">
        <v>2014</v>
      </c>
      <c r="D182" s="38" t="s">
        <v>276</v>
      </c>
      <c r="E182" s="38" t="s">
        <v>277</v>
      </c>
      <c r="F182" s="38" t="s">
        <v>56</v>
      </c>
      <c r="G182" s="38" t="s">
        <v>57</v>
      </c>
      <c r="H182" s="38">
        <v>2044470.15</v>
      </c>
      <c r="I182" s="38" t="s">
        <v>58</v>
      </c>
      <c r="J182" s="38" t="s">
        <v>72</v>
      </c>
      <c r="K182" s="38" t="s">
        <v>129</v>
      </c>
      <c r="L182" s="38" t="s">
        <v>79</v>
      </c>
      <c r="M182" s="38" t="s">
        <v>173</v>
      </c>
      <c r="N182" s="38" t="s">
        <v>59</v>
      </c>
      <c r="O182" s="38" t="s">
        <v>118</v>
      </c>
      <c r="P182" s="38" t="s">
        <v>70</v>
      </c>
      <c r="U182" s="38">
        <v>80488.74</v>
      </c>
      <c r="V182" s="38">
        <v>3100</v>
      </c>
      <c r="AP182" s="38">
        <v>80488.74</v>
      </c>
      <c r="AQ182" s="38">
        <v>42312.9</v>
      </c>
      <c r="AR182" s="38">
        <v>5299.5</v>
      </c>
      <c r="AS182" s="38">
        <v>5299.5</v>
      </c>
      <c r="BF182" s="38">
        <v>47612</v>
      </c>
      <c r="BG182" s="39">
        <f t="shared" si="4"/>
        <v>0.888702427959338</v>
      </c>
      <c r="BH182" s="39">
        <f t="shared" si="5"/>
        <v>0.111305973284046</v>
      </c>
    </row>
    <row r="183" ht="15" spans="1:60">
      <c r="A183" s="38">
        <v>182</v>
      </c>
      <c r="B183" s="38">
        <v>102</v>
      </c>
      <c r="C183" s="38">
        <v>2015</v>
      </c>
      <c r="D183" s="38" t="s">
        <v>276</v>
      </c>
      <c r="E183" s="38" t="s">
        <v>277</v>
      </c>
      <c r="F183" s="38" t="s">
        <v>56</v>
      </c>
      <c r="G183" s="38" t="s">
        <v>57</v>
      </c>
      <c r="H183" s="38">
        <v>2592058.9</v>
      </c>
      <c r="I183" s="38" t="s">
        <v>58</v>
      </c>
      <c r="J183" s="38" t="s">
        <v>72</v>
      </c>
      <c r="K183" s="38" t="s">
        <v>129</v>
      </c>
      <c r="L183" s="38" t="s">
        <v>79</v>
      </c>
      <c r="M183" s="38" t="s">
        <v>173</v>
      </c>
      <c r="N183" s="38" t="s">
        <v>59</v>
      </c>
      <c r="O183" s="38" t="s">
        <v>118</v>
      </c>
      <c r="P183" s="38" t="s">
        <v>70</v>
      </c>
      <c r="U183" s="38">
        <v>91272.73</v>
      </c>
      <c r="V183" s="38">
        <v>3339</v>
      </c>
      <c r="AP183" s="38">
        <v>91272.73</v>
      </c>
      <c r="AQ183" s="38">
        <v>47982.1</v>
      </c>
      <c r="AR183" s="38">
        <v>5708.1</v>
      </c>
      <c r="AS183" s="38">
        <v>5708.1</v>
      </c>
      <c r="BF183" s="38">
        <v>53690</v>
      </c>
      <c r="BG183" s="39">
        <f t="shared" si="4"/>
        <v>0.893687837586143</v>
      </c>
      <c r="BH183" s="39">
        <f t="shared" si="5"/>
        <v>0.106315887502328</v>
      </c>
    </row>
    <row r="184" spans="1:60">
      <c r="A184" s="38">
        <v>183</v>
      </c>
      <c r="B184" s="38">
        <v>103</v>
      </c>
      <c r="C184" s="38">
        <v>2013</v>
      </c>
      <c r="D184" s="38" t="s">
        <v>278</v>
      </c>
      <c r="E184" s="38" t="s">
        <v>279</v>
      </c>
      <c r="F184" s="38" t="s">
        <v>56</v>
      </c>
      <c r="G184" s="38" t="s">
        <v>57</v>
      </c>
      <c r="H184" s="38">
        <v>1560362</v>
      </c>
      <c r="I184" s="38" t="s">
        <v>58</v>
      </c>
      <c r="J184" s="38" t="s">
        <v>72</v>
      </c>
      <c r="K184" s="38" t="s">
        <v>129</v>
      </c>
      <c r="L184" s="38" t="s">
        <v>126</v>
      </c>
      <c r="M184" s="38" t="s">
        <v>173</v>
      </c>
      <c r="N184" s="38" t="s">
        <v>59</v>
      </c>
      <c r="O184" s="38" t="s">
        <v>118</v>
      </c>
      <c r="P184" s="38" t="s">
        <v>70</v>
      </c>
      <c r="U184" s="38">
        <v>83123.564</v>
      </c>
      <c r="V184" s="38">
        <v>10518</v>
      </c>
      <c r="W184" s="38">
        <v>10.64</v>
      </c>
      <c r="AP184" s="38">
        <v>83123.564</v>
      </c>
      <c r="AQ184" s="38">
        <v>43698.1</v>
      </c>
      <c r="AR184" s="38">
        <v>18014</v>
      </c>
      <c r="AS184" s="38">
        <v>17980.7</v>
      </c>
      <c r="AT184" s="38">
        <v>33.3</v>
      </c>
      <c r="BF184" s="38">
        <v>61712</v>
      </c>
      <c r="BG184" s="39">
        <f t="shared" si="4"/>
        <v>0.708097290640394</v>
      </c>
      <c r="BH184" s="39">
        <f t="shared" si="5"/>
        <v>0.291904329789992</v>
      </c>
    </row>
    <row r="185" spans="1:60">
      <c r="A185" s="38">
        <v>184</v>
      </c>
      <c r="B185" s="38">
        <v>103</v>
      </c>
      <c r="C185" s="38">
        <v>2014</v>
      </c>
      <c r="D185" s="38" t="s">
        <v>278</v>
      </c>
      <c r="E185" s="38" t="s">
        <v>279</v>
      </c>
      <c r="F185" s="38" t="s">
        <v>56</v>
      </c>
      <c r="G185" s="38" t="s">
        <v>57</v>
      </c>
      <c r="H185" s="38">
        <v>1600522</v>
      </c>
      <c r="I185" s="38" t="s">
        <v>58</v>
      </c>
      <c r="J185" s="38" t="s">
        <v>72</v>
      </c>
      <c r="K185" s="38" t="s">
        <v>129</v>
      </c>
      <c r="L185" s="38" t="s">
        <v>126</v>
      </c>
      <c r="M185" s="38" t="s">
        <v>173</v>
      </c>
      <c r="N185" s="38" t="s">
        <v>59</v>
      </c>
      <c r="O185" s="38" t="s">
        <v>118</v>
      </c>
      <c r="P185" s="38" t="s">
        <v>70</v>
      </c>
      <c r="U185" s="38">
        <v>79631.52</v>
      </c>
      <c r="V185" s="38">
        <v>9294.92</v>
      </c>
      <c r="W185" s="38">
        <v>7.38</v>
      </c>
      <c r="AP185" s="38">
        <v>79631.52</v>
      </c>
      <c r="AQ185" s="38">
        <v>41862.3</v>
      </c>
      <c r="AR185" s="38">
        <v>15912.9</v>
      </c>
      <c r="AS185" s="38">
        <v>15889.8</v>
      </c>
      <c r="AT185" s="38">
        <v>23.1</v>
      </c>
      <c r="BF185" s="38">
        <v>57775</v>
      </c>
      <c r="BG185" s="39">
        <f t="shared" si="4"/>
        <v>0.724574643011683</v>
      </c>
      <c r="BH185" s="39">
        <f t="shared" si="5"/>
        <v>0.275428818693206</v>
      </c>
    </row>
    <row r="186" spans="1:60">
      <c r="A186" s="38">
        <v>185</v>
      </c>
      <c r="B186" s="38">
        <v>103</v>
      </c>
      <c r="C186" s="38">
        <v>2015</v>
      </c>
      <c r="D186" s="38" t="s">
        <v>278</v>
      </c>
      <c r="E186" s="38" t="s">
        <v>279</v>
      </c>
      <c r="F186" s="38" t="s">
        <v>56</v>
      </c>
      <c r="G186" s="38" t="s">
        <v>57</v>
      </c>
      <c r="H186" s="38">
        <v>1453033</v>
      </c>
      <c r="I186" s="38" t="s">
        <v>58</v>
      </c>
      <c r="J186" s="38" t="s">
        <v>72</v>
      </c>
      <c r="K186" s="38" t="s">
        <v>129</v>
      </c>
      <c r="L186" s="38" t="s">
        <v>126</v>
      </c>
      <c r="M186" s="38" t="s">
        <v>173</v>
      </c>
      <c r="N186" s="38" t="s">
        <v>59</v>
      </c>
      <c r="O186" s="38" t="s">
        <v>118</v>
      </c>
      <c r="P186" s="38" t="s">
        <v>70</v>
      </c>
      <c r="U186" s="38">
        <v>68491.02</v>
      </c>
      <c r="V186" s="38">
        <v>7164</v>
      </c>
      <c r="W186" s="38">
        <v>12.73</v>
      </c>
      <c r="AP186" s="38">
        <v>68491.02</v>
      </c>
      <c r="AQ186" s="38">
        <v>36005.7</v>
      </c>
      <c r="AR186" s="38">
        <v>12286.8</v>
      </c>
      <c r="AS186" s="38">
        <v>12247</v>
      </c>
      <c r="AT186" s="38">
        <v>39.8</v>
      </c>
      <c r="BF186" s="38">
        <v>48293</v>
      </c>
      <c r="BG186" s="39">
        <f t="shared" si="4"/>
        <v>0.745567680616238</v>
      </c>
      <c r="BH186" s="39">
        <f t="shared" si="5"/>
        <v>0.254421965916385</v>
      </c>
    </row>
    <row r="187" ht="15" spans="1:60">
      <c r="A187" s="38">
        <v>186</v>
      </c>
      <c r="B187" s="38">
        <v>104</v>
      </c>
      <c r="C187" s="38">
        <v>2013</v>
      </c>
      <c r="D187" s="38" t="s">
        <v>226</v>
      </c>
      <c r="E187" s="38" t="s">
        <v>227</v>
      </c>
      <c r="F187" s="38" t="s">
        <v>56</v>
      </c>
      <c r="G187" s="38" t="s">
        <v>57</v>
      </c>
      <c r="H187" s="38">
        <v>2376836</v>
      </c>
      <c r="I187" s="38" t="s">
        <v>58</v>
      </c>
      <c r="U187" s="38">
        <v>308020.417</v>
      </c>
      <c r="V187" s="38">
        <v>12284.6107</v>
      </c>
      <c r="W187" s="38">
        <v>68.0976</v>
      </c>
      <c r="AF187" s="38">
        <v>3734816</v>
      </c>
      <c r="AG187" s="38">
        <v>161.2304</v>
      </c>
      <c r="AH187" s="38">
        <v>5726818</v>
      </c>
      <c r="AP187" s="38">
        <v>308020.417</v>
      </c>
      <c r="AQ187" s="38">
        <v>161926.3</v>
      </c>
      <c r="AR187" s="38">
        <v>1160649.2</v>
      </c>
      <c r="AS187" s="38">
        <v>1155655.9</v>
      </c>
      <c r="AT187" s="38">
        <v>4993.3</v>
      </c>
      <c r="BC187" s="38">
        <v>2004081.6</v>
      </c>
      <c r="BD187" s="38">
        <v>41996.7</v>
      </c>
      <c r="BF187" s="38">
        <v>3368654</v>
      </c>
      <c r="BG187" s="39">
        <f t="shared" si="4"/>
        <v>0.0480685460721107</v>
      </c>
      <c r="BH187" s="39">
        <f t="shared" si="5"/>
        <v>0.344543903885647</v>
      </c>
    </row>
    <row r="188" ht="15" spans="1:60">
      <c r="A188" s="38">
        <v>187</v>
      </c>
      <c r="B188" s="38">
        <v>104</v>
      </c>
      <c r="C188" s="38">
        <v>2014</v>
      </c>
      <c r="D188" s="38" t="s">
        <v>226</v>
      </c>
      <c r="E188" s="38" t="s">
        <v>228</v>
      </c>
      <c r="F188" s="38" t="s">
        <v>56</v>
      </c>
      <c r="G188" s="38" t="s">
        <v>57</v>
      </c>
      <c r="H188" s="38">
        <v>2289801.25</v>
      </c>
      <c r="I188" s="38" t="s">
        <v>58</v>
      </c>
      <c r="U188" s="38">
        <v>260389.776</v>
      </c>
      <c r="V188" s="38">
        <v>11568.3555</v>
      </c>
      <c r="W188" s="38">
        <v>73.9752</v>
      </c>
      <c r="AF188" s="38">
        <v>3529387.96</v>
      </c>
      <c r="AG188" s="38">
        <v>111.9713</v>
      </c>
      <c r="AH188" s="38">
        <v>5379754.39</v>
      </c>
      <c r="AP188" s="38">
        <v>260389.776</v>
      </c>
      <c r="AQ188" s="38">
        <v>136886.9</v>
      </c>
      <c r="AR188" s="38">
        <v>1093699.6</v>
      </c>
      <c r="AS188" s="38">
        <v>1088275.3</v>
      </c>
      <c r="AT188" s="38">
        <v>5424.3</v>
      </c>
      <c r="BC188" s="38">
        <v>1859882.5</v>
      </c>
      <c r="BD188" s="38">
        <v>39451.5</v>
      </c>
      <c r="BF188" s="38">
        <v>3129921</v>
      </c>
      <c r="BG188" s="39">
        <f t="shared" si="4"/>
        <v>0.0437349377188753</v>
      </c>
      <c r="BH188" s="39">
        <f t="shared" si="5"/>
        <v>0.349433611902665</v>
      </c>
    </row>
    <row r="189" ht="15" spans="1:60">
      <c r="A189" s="38">
        <v>188</v>
      </c>
      <c r="B189" s="38">
        <v>104</v>
      </c>
      <c r="C189" s="38">
        <v>2015</v>
      </c>
      <c r="D189" s="38" t="s">
        <v>226</v>
      </c>
      <c r="E189" s="38" t="s">
        <v>229</v>
      </c>
      <c r="F189" s="38" t="s">
        <v>56</v>
      </c>
      <c r="G189" s="38" t="s">
        <v>57</v>
      </c>
      <c r="H189" s="38">
        <v>2349337</v>
      </c>
      <c r="I189" s="38" t="s">
        <v>58</v>
      </c>
      <c r="U189" s="38">
        <v>250643.8528</v>
      </c>
      <c r="V189" s="38">
        <v>10487.7689</v>
      </c>
      <c r="W189" s="38">
        <v>59.4434</v>
      </c>
      <c r="AF189" s="38">
        <v>3248442.38</v>
      </c>
      <c r="AG189" s="38">
        <v>106.9498</v>
      </c>
      <c r="AH189" s="38">
        <v>4994118.97</v>
      </c>
      <c r="AP189" s="38">
        <v>250643.8528</v>
      </c>
      <c r="AQ189" s="38">
        <v>131763.5</v>
      </c>
      <c r="AR189" s="38">
        <v>990979.5</v>
      </c>
      <c r="AS189" s="38">
        <v>986620.8</v>
      </c>
      <c r="AT189" s="38">
        <v>4358.7</v>
      </c>
      <c r="BC189" s="38">
        <v>1726422.1</v>
      </c>
      <c r="BD189" s="38">
        <v>36623.5</v>
      </c>
      <c r="BF189" s="38">
        <v>2885789</v>
      </c>
      <c r="BG189" s="39">
        <f t="shared" si="4"/>
        <v>0.0456594366393385</v>
      </c>
      <c r="BH189" s="39">
        <f t="shared" si="5"/>
        <v>0.343399846627733</v>
      </c>
    </row>
    <row r="190" spans="1:60">
      <c r="A190" s="38">
        <v>189</v>
      </c>
      <c r="B190" s="38">
        <v>105</v>
      </c>
      <c r="C190" s="38">
        <v>2015</v>
      </c>
      <c r="D190" s="38" t="s">
        <v>280</v>
      </c>
      <c r="E190" s="38" t="s">
        <v>281</v>
      </c>
      <c r="F190" s="38" t="s">
        <v>56</v>
      </c>
      <c r="G190" s="38" t="s">
        <v>57</v>
      </c>
      <c r="H190" s="38">
        <v>209140</v>
      </c>
      <c r="I190" s="38" t="s">
        <v>58</v>
      </c>
      <c r="U190" s="38">
        <v>11217.8</v>
      </c>
      <c r="V190" s="38">
        <v>7359.57</v>
      </c>
      <c r="W190" s="38">
        <v>14</v>
      </c>
      <c r="AF190" s="38">
        <v>21630</v>
      </c>
      <c r="AG190" s="38">
        <v>0</v>
      </c>
      <c r="AH190" s="38">
        <v>38625</v>
      </c>
      <c r="AP190" s="38">
        <v>11217.8</v>
      </c>
      <c r="AQ190" s="38">
        <v>10908.18872</v>
      </c>
      <c r="AR190" s="38">
        <v>16207.3314</v>
      </c>
      <c r="AS190" s="38">
        <v>16162.66623</v>
      </c>
      <c r="AT190" s="38">
        <v>44.6651744</v>
      </c>
      <c r="BC190" s="38">
        <v>11522.37757</v>
      </c>
      <c r="BD190" s="38">
        <v>283.25</v>
      </c>
      <c r="BF190" s="38">
        <v>38921</v>
      </c>
      <c r="BG190" s="39">
        <f t="shared" si="4"/>
        <v>0.280264862670538</v>
      </c>
      <c r="BH190" s="39">
        <f t="shared" si="5"/>
        <v>0.416416109555253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4"/>
  <sheetViews>
    <sheetView topLeftCell="C1" workbookViewId="0">
      <pane ySplit="1" topLeftCell="A2" activePane="bottomLeft" state="frozen"/>
      <selection/>
      <selection pane="bottomLeft" activeCell="U1" sqref="U1"/>
    </sheetView>
  </sheetViews>
  <sheetFormatPr defaultColWidth="9" defaultRowHeight="14"/>
  <cols>
    <col min="1" max="2" width="9.10833333333333" customWidth="1"/>
    <col min="4" max="4" width="12.5583333333333" customWidth="1"/>
    <col min="6" max="6" width="13.4416666666667" customWidth="1"/>
    <col min="7" max="8" width="12.8833333333333" customWidth="1"/>
    <col min="10" max="15" width="9.10833333333333" customWidth="1"/>
    <col min="17" max="17" width="14.2166666666667" customWidth="1"/>
    <col min="18" max="19" width="12.8833333333333" customWidth="1"/>
    <col min="20" max="20" width="9.10833333333333" customWidth="1"/>
    <col min="21" max="21" width="10.6666666666667" customWidth="1"/>
    <col min="22" max="22" width="9.10833333333333" customWidth="1"/>
    <col min="23" max="23" width="12" customWidth="1"/>
    <col min="24" max="25" width="9.10833333333333" customWidth="1"/>
    <col min="26" max="26" width="12.5583333333333" customWidth="1"/>
  </cols>
  <sheetData>
    <row r="1" s="2" customFormat="1" ht="42" spans="1:26">
      <c r="A1" s="30" t="s">
        <v>282</v>
      </c>
      <c r="B1" s="30" t="s">
        <v>283</v>
      </c>
      <c r="C1" s="30" t="s">
        <v>284</v>
      </c>
      <c r="D1" s="30" t="s">
        <v>285</v>
      </c>
      <c r="E1" s="30" t="s">
        <v>286</v>
      </c>
      <c r="F1" s="30" t="s">
        <v>287</v>
      </c>
      <c r="G1" s="30" t="s">
        <v>288</v>
      </c>
      <c r="H1" s="30" t="s">
        <v>289</v>
      </c>
      <c r="I1" s="30" t="s">
        <v>290</v>
      </c>
      <c r="J1" s="30" t="s">
        <v>291</v>
      </c>
      <c r="K1" s="30" t="s">
        <v>292</v>
      </c>
      <c r="L1" s="30" t="s">
        <v>293</v>
      </c>
      <c r="M1" s="30" t="s">
        <v>294</v>
      </c>
      <c r="N1" s="30" t="s">
        <v>295</v>
      </c>
      <c r="O1" s="30" t="s">
        <v>296</v>
      </c>
      <c r="P1" s="30" t="s">
        <v>297</v>
      </c>
      <c r="Q1" s="30" t="s">
        <v>298</v>
      </c>
      <c r="R1" s="30" t="s">
        <v>299</v>
      </c>
      <c r="S1" s="30" t="s">
        <v>300</v>
      </c>
      <c r="T1" s="30" t="s">
        <v>301</v>
      </c>
      <c r="U1" s="31" t="s">
        <v>302</v>
      </c>
      <c r="V1" s="31" t="s">
        <v>303</v>
      </c>
      <c r="W1" s="31" t="s">
        <v>304</v>
      </c>
      <c r="X1" s="2" t="s">
        <v>305</v>
      </c>
      <c r="Y1" s="31" t="s">
        <v>306</v>
      </c>
      <c r="Z1" s="31" t="s">
        <v>307</v>
      </c>
    </row>
    <row r="2" s="2" customFormat="1" spans="1:26">
      <c r="A2" s="2">
        <v>1</v>
      </c>
      <c r="B2" s="2">
        <v>2016</v>
      </c>
      <c r="C2" s="2" t="s">
        <v>308</v>
      </c>
      <c r="D2" s="6">
        <v>17181.549</v>
      </c>
      <c r="E2" s="2" t="s">
        <v>58</v>
      </c>
      <c r="F2" s="2">
        <v>12479.2</v>
      </c>
      <c r="G2" s="2">
        <v>6871.89</v>
      </c>
      <c r="J2" s="2">
        <v>41.924</v>
      </c>
      <c r="S2" s="2">
        <v>629971.979</v>
      </c>
      <c r="U2" s="2">
        <v>11035.3566</v>
      </c>
      <c r="W2" s="2">
        <v>15029.1655</v>
      </c>
      <c r="Y2" s="2">
        <v>1653.6764</v>
      </c>
      <c r="Z2" s="2">
        <v>27718.1985</v>
      </c>
    </row>
    <row r="3" s="2" customFormat="1" spans="2:26">
      <c r="B3" s="2">
        <v>2017</v>
      </c>
      <c r="C3" s="2" t="s">
        <v>308</v>
      </c>
      <c r="D3" s="6">
        <v>38633.442</v>
      </c>
      <c r="E3" s="2" t="s">
        <v>58</v>
      </c>
      <c r="F3" s="2">
        <v>23227.9</v>
      </c>
      <c r="G3" s="2">
        <v>12635.14</v>
      </c>
      <c r="J3" s="2">
        <v>33.7811</v>
      </c>
      <c r="S3" s="2">
        <v>746576.544</v>
      </c>
      <c r="U3" s="2">
        <v>20540.432</v>
      </c>
      <c r="W3" s="2">
        <v>27958.7667</v>
      </c>
      <c r="Y3" s="2">
        <v>1959.7634</v>
      </c>
      <c r="Z3" s="2">
        <v>50458.9621</v>
      </c>
    </row>
    <row r="4" s="2" customFormat="1" spans="1:26">
      <c r="A4" s="2">
        <v>2</v>
      </c>
      <c r="B4" s="2">
        <v>2013</v>
      </c>
      <c r="C4" s="2" t="s">
        <v>309</v>
      </c>
      <c r="D4" s="6">
        <v>165341.3</v>
      </c>
      <c r="E4" s="2" t="s">
        <v>58</v>
      </c>
      <c r="F4" s="2">
        <v>45434.495</v>
      </c>
      <c r="J4" s="2">
        <v>148.33</v>
      </c>
      <c r="Q4" s="2">
        <v>889997.87</v>
      </c>
      <c r="T4" s="2">
        <v>165430</v>
      </c>
      <c r="U4" s="2">
        <v>40177.7</v>
      </c>
      <c r="V4" s="2">
        <v>97899.8</v>
      </c>
      <c r="W4" s="2">
        <v>459.2</v>
      </c>
      <c r="Z4" s="2">
        <v>138536.7</v>
      </c>
    </row>
    <row r="5" s="2" customFormat="1" spans="2:26">
      <c r="B5" s="2">
        <v>2014</v>
      </c>
      <c r="C5" s="2" t="s">
        <v>309</v>
      </c>
      <c r="D5" s="6">
        <v>172984.3</v>
      </c>
      <c r="E5" s="2" t="s">
        <v>58</v>
      </c>
      <c r="F5" s="2">
        <v>48289.545</v>
      </c>
      <c r="J5" s="2">
        <v>176.4</v>
      </c>
      <c r="Q5" s="2">
        <v>908722.18</v>
      </c>
      <c r="T5" s="2">
        <v>151376</v>
      </c>
      <c r="U5" s="2">
        <v>42702.4</v>
      </c>
      <c r="V5" s="2">
        <v>99959.4</v>
      </c>
      <c r="W5" s="2">
        <v>546.1</v>
      </c>
      <c r="Z5" s="2">
        <v>143208</v>
      </c>
    </row>
    <row r="6" s="2" customFormat="1" spans="2:26">
      <c r="B6" s="2">
        <v>2015</v>
      </c>
      <c r="C6" s="2" t="s">
        <v>309</v>
      </c>
      <c r="D6" s="6">
        <v>188716</v>
      </c>
      <c r="E6" s="2" t="s">
        <v>58</v>
      </c>
      <c r="F6" s="2">
        <v>58375.35</v>
      </c>
      <c r="J6" s="2">
        <v>198.6</v>
      </c>
      <c r="Q6" s="2">
        <v>857280.79</v>
      </c>
      <c r="T6" s="2">
        <v>304375</v>
      </c>
      <c r="U6" s="2">
        <v>51621.3</v>
      </c>
      <c r="V6" s="2">
        <v>94300.9</v>
      </c>
      <c r="W6" s="2">
        <v>614.8</v>
      </c>
      <c r="Z6" s="2">
        <v>146537.1</v>
      </c>
    </row>
    <row r="7" s="2" customFormat="1" spans="1:26">
      <c r="A7" s="2">
        <v>3</v>
      </c>
      <c r="B7" s="2">
        <v>2013</v>
      </c>
      <c r="C7" s="2" t="s">
        <v>309</v>
      </c>
      <c r="D7" s="2">
        <v>25471.7</v>
      </c>
      <c r="E7" s="2" t="s">
        <v>58</v>
      </c>
      <c r="F7" s="2">
        <v>763.86</v>
      </c>
      <c r="J7" s="2">
        <v>37.912</v>
      </c>
      <c r="U7" s="2">
        <v>675.48</v>
      </c>
      <c r="W7" s="2">
        <v>117.37</v>
      </c>
      <c r="Z7" s="2">
        <v>792.87</v>
      </c>
    </row>
    <row r="8" s="2" customFormat="1" spans="2:26">
      <c r="B8" s="2">
        <v>2014</v>
      </c>
      <c r="C8" s="2" t="s">
        <v>309</v>
      </c>
      <c r="D8" s="2">
        <v>33511.7</v>
      </c>
      <c r="E8" s="2" t="s">
        <v>58</v>
      </c>
      <c r="F8" s="2">
        <v>6564.229</v>
      </c>
      <c r="J8" s="2">
        <v>40.647</v>
      </c>
      <c r="U8" s="2">
        <v>5804.75</v>
      </c>
      <c r="W8" s="2">
        <v>125.84</v>
      </c>
      <c r="Z8" s="2">
        <v>5930.54</v>
      </c>
    </row>
    <row r="9" s="2" customFormat="1" spans="2:26">
      <c r="B9" s="2">
        <v>2015</v>
      </c>
      <c r="C9" s="2" t="s">
        <v>309</v>
      </c>
      <c r="D9" s="2">
        <v>41207.9</v>
      </c>
      <c r="E9" s="2" t="s">
        <v>58</v>
      </c>
      <c r="F9" s="2">
        <v>1666.05</v>
      </c>
      <c r="J9" s="2">
        <v>49.198</v>
      </c>
      <c r="U9" s="2">
        <v>1473.29</v>
      </c>
      <c r="W9" s="2">
        <v>152.31</v>
      </c>
      <c r="Z9" s="2">
        <v>1625.61</v>
      </c>
    </row>
    <row r="10" s="2" customFormat="1" spans="1:26">
      <c r="A10" s="2">
        <v>4</v>
      </c>
      <c r="B10" s="2">
        <v>2013</v>
      </c>
      <c r="C10" s="2" t="s">
        <v>309</v>
      </c>
      <c r="D10" s="6">
        <v>53474.508</v>
      </c>
      <c r="E10" s="2" t="s">
        <v>58</v>
      </c>
      <c r="F10" s="6">
        <v>22212.41</v>
      </c>
      <c r="G10" s="6">
        <v>19071.2</v>
      </c>
      <c r="H10" s="6"/>
      <c r="O10" s="6">
        <v>251.74</v>
      </c>
      <c r="R10" s="6" t="s">
        <v>310</v>
      </c>
      <c r="U10" s="6">
        <v>11677.06394</v>
      </c>
      <c r="W10" s="6">
        <v>33217.2544</v>
      </c>
      <c r="X10" s="6">
        <v>101.9547</v>
      </c>
      <c r="Y10" s="6">
        <v>6973.3125</v>
      </c>
      <c r="Z10" s="6">
        <v>51970</v>
      </c>
    </row>
    <row r="11" s="2" customFormat="1" spans="2:26">
      <c r="B11" s="2">
        <v>2014</v>
      </c>
      <c r="C11" s="2" t="s">
        <v>309</v>
      </c>
      <c r="D11" s="6">
        <v>48918.438</v>
      </c>
      <c r="E11" s="2" t="s">
        <v>58</v>
      </c>
      <c r="F11" s="6">
        <v>18466</v>
      </c>
      <c r="G11" s="32">
        <v>17445.8</v>
      </c>
      <c r="H11" s="32"/>
      <c r="O11" s="6">
        <v>230.29</v>
      </c>
      <c r="R11" s="6" t="s">
        <v>310</v>
      </c>
      <c r="U11" s="6">
        <v>9707.5762</v>
      </c>
      <c r="W11" s="6">
        <v>30386.21465</v>
      </c>
      <c r="X11" s="6">
        <v>93.26745</v>
      </c>
      <c r="Y11" s="6">
        <v>4602.38625</v>
      </c>
      <c r="Z11" s="6">
        <v>44789</v>
      </c>
    </row>
    <row r="12" s="2" customFormat="1" spans="2:26">
      <c r="B12" s="2">
        <v>2015</v>
      </c>
      <c r="C12" s="2" t="s">
        <v>309</v>
      </c>
      <c r="D12" s="6">
        <v>82574.162</v>
      </c>
      <c r="E12" s="2" t="s">
        <v>58</v>
      </c>
      <c r="F12" s="6">
        <v>32296.52</v>
      </c>
      <c r="G12" s="6">
        <v>29541.5</v>
      </c>
      <c r="H12" s="6"/>
      <c r="O12" s="6">
        <v>389.95</v>
      </c>
      <c r="R12" s="6" t="s">
        <v>311</v>
      </c>
      <c r="U12" s="6">
        <v>16978.28056</v>
      </c>
      <c r="W12" s="6">
        <v>51453.89492</v>
      </c>
      <c r="X12" s="6">
        <v>157.92975</v>
      </c>
      <c r="Y12" s="6">
        <v>6282.357375</v>
      </c>
      <c r="Z12" s="6">
        <v>74872</v>
      </c>
    </row>
    <row r="13" s="2" customFormat="1" spans="1:26">
      <c r="A13" s="2">
        <v>5</v>
      </c>
      <c r="B13" s="2">
        <v>2016</v>
      </c>
      <c r="C13" s="2" t="s">
        <v>312</v>
      </c>
      <c r="D13" s="6">
        <v>62617</v>
      </c>
      <c r="E13" s="2" t="s">
        <v>58</v>
      </c>
      <c r="F13" s="2">
        <v>20829.017</v>
      </c>
      <c r="G13" s="2">
        <v>14846.1</v>
      </c>
      <c r="J13" s="2">
        <v>56.697</v>
      </c>
      <c r="M13" s="2">
        <v>1.932</v>
      </c>
      <c r="U13" s="2">
        <v>18419.0997</v>
      </c>
      <c r="W13" s="2">
        <v>26039.7088</v>
      </c>
      <c r="Z13" s="2">
        <v>44458.8086</v>
      </c>
    </row>
    <row r="14" s="2" customFormat="1" spans="2:26">
      <c r="B14" s="2">
        <v>2017</v>
      </c>
      <c r="C14" s="2" t="s">
        <v>312</v>
      </c>
      <c r="D14" s="6">
        <v>64733</v>
      </c>
      <c r="E14" s="2" t="s">
        <v>58</v>
      </c>
      <c r="F14" s="2">
        <v>22345.51</v>
      </c>
      <c r="G14" s="2">
        <v>15246.04</v>
      </c>
      <c r="J14" s="2">
        <v>68.89048</v>
      </c>
      <c r="M14" s="2">
        <v>1.692</v>
      </c>
      <c r="U14" s="2">
        <v>19760.1345</v>
      </c>
      <c r="W14" s="2">
        <v>26773.3098</v>
      </c>
      <c r="Z14" s="2">
        <v>46533.4443</v>
      </c>
    </row>
    <row r="15" s="2" customFormat="1" spans="1:26">
      <c r="A15" s="2">
        <v>6</v>
      </c>
      <c r="B15" s="2">
        <v>2013</v>
      </c>
      <c r="C15" s="2" t="s">
        <v>309</v>
      </c>
      <c r="D15" s="6">
        <v>71003.525</v>
      </c>
      <c r="E15" s="2" t="s">
        <v>58</v>
      </c>
      <c r="F15" s="2">
        <v>60163.099</v>
      </c>
      <c r="J15" s="6">
        <v>38.4425832</v>
      </c>
      <c r="K15" s="6"/>
      <c r="L15" s="6"/>
      <c r="Q15" s="2">
        <v>525589.3469</v>
      </c>
      <c r="U15" s="6">
        <v>53202.2284</v>
      </c>
      <c r="V15" s="6">
        <v>57814.8282</v>
      </c>
      <c r="W15" s="6">
        <v>119.0148</v>
      </c>
      <c r="Z15" s="6">
        <v>111136.0714</v>
      </c>
    </row>
    <row r="16" s="2" customFormat="1" spans="2:26">
      <c r="B16" s="2">
        <v>2014</v>
      </c>
      <c r="C16" s="2" t="s">
        <v>309</v>
      </c>
      <c r="D16" s="6">
        <v>45383.364</v>
      </c>
      <c r="E16" s="2" t="s">
        <v>58</v>
      </c>
      <c r="F16" s="2">
        <v>37020.133</v>
      </c>
      <c r="J16" s="6">
        <v>26.5609008</v>
      </c>
      <c r="K16" s="6"/>
      <c r="L16" s="6"/>
      <c r="Q16" s="2">
        <v>298358.8404</v>
      </c>
      <c r="U16" s="6">
        <v>32736.9036</v>
      </c>
      <c r="V16" s="6">
        <v>32819.4724</v>
      </c>
      <c r="W16" s="6">
        <v>82.2301</v>
      </c>
      <c r="Z16" s="6">
        <v>65638.6062</v>
      </c>
    </row>
    <row r="17" s="2" customFormat="1" spans="2:26">
      <c r="B17" s="2">
        <v>2015</v>
      </c>
      <c r="C17" s="2" t="s">
        <v>309</v>
      </c>
      <c r="D17" s="6">
        <v>39811.625</v>
      </c>
      <c r="E17" s="2" t="s">
        <v>58</v>
      </c>
      <c r="F17" s="2">
        <v>33007.836</v>
      </c>
      <c r="J17" s="6">
        <v>17.6844024</v>
      </c>
      <c r="K17" s="6"/>
      <c r="L17" s="6"/>
      <c r="Q17" s="2">
        <v>282734.7263</v>
      </c>
      <c r="U17" s="6">
        <v>29188.8294</v>
      </c>
      <c r="V17" s="6">
        <v>31100.8199</v>
      </c>
      <c r="W17" s="6">
        <v>54.7493</v>
      </c>
      <c r="Z17" s="6">
        <v>60344.3986</v>
      </c>
    </row>
    <row r="18" s="2" customFormat="1" spans="1:26">
      <c r="A18" s="2">
        <v>7</v>
      </c>
      <c r="B18" s="2">
        <v>2016</v>
      </c>
      <c r="C18" s="2" t="s">
        <v>312</v>
      </c>
      <c r="D18" s="6">
        <v>150452</v>
      </c>
      <c r="E18" s="2" t="s">
        <v>58</v>
      </c>
      <c r="F18" s="2">
        <v>48555.535</v>
      </c>
      <c r="J18" s="2">
        <v>128.6</v>
      </c>
      <c r="Q18" s="2">
        <v>862502.977</v>
      </c>
      <c r="U18" s="6">
        <v>42937.6596</v>
      </c>
      <c r="V18" s="6">
        <v>94875.3275</v>
      </c>
      <c r="W18" s="6">
        <v>398.1364</v>
      </c>
      <c r="Z18" s="2">
        <v>138211</v>
      </c>
    </row>
    <row r="19" s="2" customFormat="1" spans="2:26">
      <c r="B19" s="2">
        <v>2017</v>
      </c>
      <c r="C19" s="2" t="s">
        <v>312</v>
      </c>
      <c r="D19" s="6">
        <v>197833</v>
      </c>
      <c r="E19" s="2" t="s">
        <v>58</v>
      </c>
      <c r="F19" s="2">
        <v>61437.398</v>
      </c>
      <c r="J19" s="2">
        <v>184.52</v>
      </c>
      <c r="Q19" s="2">
        <v>1100511.09</v>
      </c>
      <c r="U19" s="6">
        <v>54329.0911</v>
      </c>
      <c r="V19" s="6">
        <v>121056.2199</v>
      </c>
      <c r="W19" s="6">
        <v>571.2471</v>
      </c>
      <c r="Z19" s="2">
        <v>175957</v>
      </c>
    </row>
    <row r="20" s="2" customFormat="1" spans="1:26">
      <c r="A20" s="2">
        <v>8</v>
      </c>
      <c r="B20" s="2">
        <v>2016</v>
      </c>
      <c r="C20" s="2" t="s">
        <v>309</v>
      </c>
      <c r="D20" s="2">
        <v>70005</v>
      </c>
      <c r="E20" s="2" t="s">
        <v>58</v>
      </c>
      <c r="F20" s="2">
        <v>68485.863</v>
      </c>
      <c r="J20" s="2">
        <v>55.728</v>
      </c>
      <c r="Q20" s="2">
        <v>795905</v>
      </c>
      <c r="R20" s="2">
        <v>2439949</v>
      </c>
      <c r="U20" s="6">
        <v>60562</v>
      </c>
      <c r="V20" s="6">
        <v>87550</v>
      </c>
      <c r="W20" s="6">
        <v>173</v>
      </c>
      <c r="Y20" s="2">
        <v>2012</v>
      </c>
      <c r="Z20" s="6">
        <v>150297</v>
      </c>
    </row>
    <row r="21" s="2" customFormat="1" spans="2:26">
      <c r="B21" s="2">
        <v>2017</v>
      </c>
      <c r="C21" s="2" t="s">
        <v>309</v>
      </c>
      <c r="D21" s="2">
        <v>54142</v>
      </c>
      <c r="E21" s="2" t="s">
        <v>58</v>
      </c>
      <c r="F21" s="2">
        <v>49466.997</v>
      </c>
      <c r="J21" s="2">
        <v>36.919</v>
      </c>
      <c r="Q21" s="2">
        <v>499025</v>
      </c>
      <c r="R21" s="2">
        <v>2615708</v>
      </c>
      <c r="U21" s="6">
        <v>43744</v>
      </c>
      <c r="V21" s="6">
        <v>54893</v>
      </c>
      <c r="W21" s="6">
        <v>114</v>
      </c>
      <c r="Y21" s="2">
        <v>2157</v>
      </c>
      <c r="Z21" s="6">
        <v>100908</v>
      </c>
    </row>
    <row r="22" s="2" customFormat="1" spans="1:26">
      <c r="A22" s="2">
        <v>9</v>
      </c>
      <c r="B22" s="2">
        <v>2016</v>
      </c>
      <c r="F22" s="2">
        <v>80943.33</v>
      </c>
      <c r="J22" s="2">
        <v>159.51</v>
      </c>
      <c r="K22" s="2">
        <v>113.39</v>
      </c>
      <c r="Q22" s="2">
        <v>446373.62</v>
      </c>
      <c r="U22" s="6">
        <v>71578.19</v>
      </c>
      <c r="V22" s="2">
        <v>49101.1</v>
      </c>
      <c r="W22" s="6">
        <v>853.33</v>
      </c>
      <c r="Z22" s="6">
        <v>121533</v>
      </c>
    </row>
    <row r="23" s="2" customFormat="1" spans="2:26">
      <c r="B23" s="2">
        <v>2017</v>
      </c>
      <c r="F23" s="2">
        <v>80226.41</v>
      </c>
      <c r="J23" s="2">
        <v>159.01</v>
      </c>
      <c r="K23" s="2">
        <v>75.33</v>
      </c>
      <c r="Q23" s="2">
        <v>579297.28</v>
      </c>
      <c r="U23" s="6">
        <v>70944.21</v>
      </c>
      <c r="V23" s="2">
        <v>63722.7</v>
      </c>
      <c r="W23" s="6">
        <v>731.11</v>
      </c>
      <c r="Z23" s="6">
        <v>135398</v>
      </c>
    </row>
    <row r="24" s="2" customFormat="1" spans="1:26">
      <c r="A24" s="2">
        <v>10</v>
      </c>
      <c r="B24" s="2">
        <v>2013</v>
      </c>
      <c r="C24" s="2" t="s">
        <v>309</v>
      </c>
      <c r="D24" s="6">
        <v>53168</v>
      </c>
      <c r="E24" s="2" t="s">
        <v>58</v>
      </c>
      <c r="F24" s="2">
        <v>1538.4</v>
      </c>
      <c r="J24" s="2">
        <v>106.309</v>
      </c>
      <c r="K24" s="2">
        <v>175.6</v>
      </c>
      <c r="U24" s="2">
        <v>1360.41</v>
      </c>
      <c r="W24" s="2">
        <v>885.86</v>
      </c>
      <c r="Z24" s="2">
        <v>2246.27</v>
      </c>
    </row>
    <row r="25" s="2" customFormat="1" spans="2:26">
      <c r="B25" s="2">
        <v>2014</v>
      </c>
      <c r="C25" s="2" t="s">
        <v>309</v>
      </c>
      <c r="D25" s="6">
        <v>53785</v>
      </c>
      <c r="E25" s="2" t="s">
        <v>58</v>
      </c>
      <c r="F25" s="2">
        <v>1481.9</v>
      </c>
      <c r="J25" s="2">
        <v>114.735</v>
      </c>
      <c r="K25" s="2">
        <v>162.98</v>
      </c>
      <c r="U25" s="2">
        <v>1310.44</v>
      </c>
      <c r="W25" s="2">
        <v>871.93</v>
      </c>
      <c r="Z25" s="2">
        <v>2182.37</v>
      </c>
    </row>
    <row r="26" s="2" customFormat="1" spans="2:26">
      <c r="B26" s="2">
        <v>2015</v>
      </c>
      <c r="C26" s="2" t="s">
        <v>309</v>
      </c>
      <c r="D26" s="6">
        <v>54003</v>
      </c>
      <c r="E26" s="2" t="s">
        <v>58</v>
      </c>
      <c r="F26" s="2">
        <v>1528.7</v>
      </c>
      <c r="J26" s="2">
        <v>97.848</v>
      </c>
      <c r="K26" s="2">
        <v>215.66</v>
      </c>
      <c r="U26" s="2">
        <v>1351.83</v>
      </c>
      <c r="W26" s="2">
        <v>986.67</v>
      </c>
      <c r="Z26" s="2">
        <v>2338.5</v>
      </c>
    </row>
    <row r="27" s="2" customFormat="1" spans="1:26">
      <c r="A27" s="2">
        <v>11</v>
      </c>
      <c r="B27" s="2">
        <v>2013</v>
      </c>
      <c r="C27" s="2" t="s">
        <v>309</v>
      </c>
      <c r="D27" s="2">
        <v>17078.34</v>
      </c>
      <c r="E27" s="2" t="s">
        <v>58</v>
      </c>
      <c r="F27" s="6">
        <v>11868.17</v>
      </c>
      <c r="G27" s="6">
        <v>12981.5</v>
      </c>
      <c r="H27" s="6"/>
      <c r="J27" s="6">
        <v>58.86</v>
      </c>
      <c r="U27" s="2">
        <v>10495.02</v>
      </c>
      <c r="W27" s="2">
        <v>22792.75</v>
      </c>
      <c r="Y27" s="6">
        <v>366.54</v>
      </c>
      <c r="Z27" s="6">
        <v>33654.31</v>
      </c>
    </row>
    <row r="28" s="2" customFormat="1" spans="2:26">
      <c r="B28" s="2">
        <v>2014</v>
      </c>
      <c r="C28" s="2" t="s">
        <v>309</v>
      </c>
      <c r="D28" s="2">
        <v>18435.46</v>
      </c>
      <c r="E28" s="2" t="s">
        <v>58</v>
      </c>
      <c r="F28" s="6">
        <v>13248.33</v>
      </c>
      <c r="G28" s="6">
        <v>14010.8</v>
      </c>
      <c r="H28" s="6"/>
      <c r="J28" s="6">
        <v>35.55</v>
      </c>
      <c r="U28" s="2">
        <v>11715.5</v>
      </c>
      <c r="W28" s="2">
        <v>24513.36</v>
      </c>
      <c r="Y28" s="6">
        <v>366.54</v>
      </c>
      <c r="Z28" s="6">
        <v>36595.4</v>
      </c>
    </row>
    <row r="29" s="2" customFormat="1" spans="2:26">
      <c r="B29" s="2">
        <v>2015</v>
      </c>
      <c r="C29" s="2" t="s">
        <v>309</v>
      </c>
      <c r="D29" s="2">
        <v>18467.74</v>
      </c>
      <c r="E29" s="2" t="s">
        <v>58</v>
      </c>
      <c r="F29" s="6">
        <v>13884.89</v>
      </c>
      <c r="G29" s="6">
        <v>14033.5</v>
      </c>
      <c r="H29" s="6"/>
      <c r="J29" s="6">
        <v>65.72</v>
      </c>
      <c r="R29" s="2">
        <v>354397</v>
      </c>
      <c r="U29" s="2">
        <v>12277.52</v>
      </c>
      <c r="W29" s="2">
        <v>24646.31</v>
      </c>
      <c r="Y29" s="6">
        <v>366.54</v>
      </c>
      <c r="Z29" s="6">
        <v>37290.36</v>
      </c>
    </row>
    <row r="30" s="2" customFormat="1" spans="1:26">
      <c r="A30" s="2">
        <v>12</v>
      </c>
      <c r="B30" s="2">
        <v>2016</v>
      </c>
      <c r="C30" s="2" t="s">
        <v>313</v>
      </c>
      <c r="D30" s="2">
        <v>68255.11</v>
      </c>
      <c r="E30" s="2" t="s">
        <v>58</v>
      </c>
      <c r="F30" s="2">
        <v>25616.158</v>
      </c>
      <c r="G30" s="2">
        <v>17321.43</v>
      </c>
      <c r="J30" s="2">
        <v>151.55</v>
      </c>
      <c r="R30" s="2">
        <v>589590</v>
      </c>
      <c r="U30" s="2">
        <v>22652.37</v>
      </c>
      <c r="W30" s="2">
        <v>42207.13</v>
      </c>
      <c r="Y30" s="2">
        <v>7975.94</v>
      </c>
      <c r="Z30" s="2">
        <v>72835</v>
      </c>
    </row>
    <row r="31" s="2" customFormat="1" spans="2:26">
      <c r="B31" s="2">
        <v>2017</v>
      </c>
      <c r="C31" s="2" t="s">
        <v>313</v>
      </c>
      <c r="D31" s="2">
        <v>82800.03</v>
      </c>
      <c r="E31" s="2" t="s">
        <v>58</v>
      </c>
      <c r="F31" s="2">
        <v>27437.529</v>
      </c>
      <c r="G31" s="2">
        <v>21557.59</v>
      </c>
      <c r="J31" s="2">
        <v>96.75</v>
      </c>
      <c r="R31" s="2">
        <v>637115</v>
      </c>
      <c r="U31" s="2">
        <v>24263.01</v>
      </c>
      <c r="W31" s="2">
        <v>52266.09</v>
      </c>
      <c r="Y31" s="2">
        <v>8647.95</v>
      </c>
      <c r="Z31" s="2">
        <v>85177</v>
      </c>
    </row>
    <row r="32" s="2" customFormat="1" spans="1:26">
      <c r="A32" s="2">
        <v>13</v>
      </c>
      <c r="B32" s="2">
        <v>2013</v>
      </c>
      <c r="C32" s="2" t="s">
        <v>309</v>
      </c>
      <c r="D32" s="2">
        <v>111520</v>
      </c>
      <c r="E32" s="2" t="s">
        <v>58</v>
      </c>
      <c r="F32" s="2">
        <v>93970</v>
      </c>
      <c r="G32" s="2">
        <v>61307</v>
      </c>
      <c r="J32" s="2">
        <v>117</v>
      </c>
      <c r="U32" s="6">
        <v>83097.67</v>
      </c>
      <c r="W32" s="6">
        <v>107143.66</v>
      </c>
      <c r="Z32" s="2">
        <v>190241.33</v>
      </c>
    </row>
    <row r="33" s="2" customFormat="1" spans="2:26">
      <c r="B33" s="2">
        <v>2014</v>
      </c>
      <c r="C33" s="2" t="s">
        <v>309</v>
      </c>
      <c r="D33" s="2">
        <v>151248</v>
      </c>
      <c r="E33" s="2" t="s">
        <v>58</v>
      </c>
      <c r="F33" s="2">
        <v>134060</v>
      </c>
      <c r="G33" s="2">
        <v>65950</v>
      </c>
      <c r="J33" s="2">
        <v>189</v>
      </c>
      <c r="U33" s="6">
        <v>118549.26</v>
      </c>
      <c r="W33" s="6">
        <v>115453.51</v>
      </c>
      <c r="Z33" s="2">
        <v>234002.77</v>
      </c>
    </row>
    <row r="34" s="2" customFormat="1" spans="2:26">
      <c r="B34" s="2">
        <v>2015</v>
      </c>
      <c r="C34" s="2" t="s">
        <v>309</v>
      </c>
      <c r="D34" s="2">
        <v>177016</v>
      </c>
      <c r="E34" s="2" t="s">
        <v>58</v>
      </c>
      <c r="F34" s="2">
        <v>154840</v>
      </c>
      <c r="G34" s="2">
        <v>61085</v>
      </c>
      <c r="J34" s="2">
        <v>210</v>
      </c>
      <c r="U34" s="6">
        <v>136925.01</v>
      </c>
      <c r="W34" s="6">
        <v>107044.91</v>
      </c>
      <c r="Z34" s="2">
        <v>243969.93</v>
      </c>
    </row>
    <row r="35" s="2" customFormat="1" spans="1:26">
      <c r="A35" s="2">
        <v>14</v>
      </c>
      <c r="B35" s="2">
        <v>2013</v>
      </c>
      <c r="C35" s="2" t="s">
        <v>309</v>
      </c>
      <c r="D35" s="2">
        <v>193103.868</v>
      </c>
      <c r="E35" s="2" t="s">
        <v>58</v>
      </c>
      <c r="F35" s="6">
        <v>77241.547</v>
      </c>
      <c r="G35" s="6">
        <v>54069.1</v>
      </c>
      <c r="H35" s="6"/>
      <c r="O35" s="6">
        <v>713.71</v>
      </c>
      <c r="R35" s="6" t="s">
        <v>314</v>
      </c>
      <c r="U35" s="35">
        <v>40605.88126</v>
      </c>
      <c r="W35" s="35">
        <v>94174.83168</v>
      </c>
      <c r="X35" s="6">
        <v>289.05255</v>
      </c>
      <c r="Y35" s="35">
        <v>20610.45667</v>
      </c>
      <c r="Z35" s="6">
        <v>155680</v>
      </c>
    </row>
    <row r="36" s="2" customFormat="1" spans="2:26">
      <c r="B36" s="2">
        <v>2014</v>
      </c>
      <c r="C36" s="2" t="s">
        <v>309</v>
      </c>
      <c r="D36" s="2">
        <v>199835.538</v>
      </c>
      <c r="E36" s="2" t="s">
        <v>58</v>
      </c>
      <c r="F36" s="6">
        <v>79934.215</v>
      </c>
      <c r="G36" s="6">
        <v>55954</v>
      </c>
      <c r="H36" s="6"/>
      <c r="O36" s="6">
        <v>738.59</v>
      </c>
      <c r="R36" s="6" t="s">
        <v>315</v>
      </c>
      <c r="U36" s="35">
        <v>42021.41683</v>
      </c>
      <c r="W36" s="35">
        <v>97457.85544</v>
      </c>
      <c r="X36" s="6">
        <v>299.12895</v>
      </c>
      <c r="Y36" s="35">
        <v>19828.68245</v>
      </c>
      <c r="Z36" s="6">
        <v>159607</v>
      </c>
    </row>
    <row r="37" s="2" customFormat="1" spans="2:26">
      <c r="B37" s="2">
        <v>2015</v>
      </c>
      <c r="C37" s="2" t="s">
        <v>309</v>
      </c>
      <c r="D37" s="2">
        <v>202681.181</v>
      </c>
      <c r="E37" s="2" t="s">
        <v>58</v>
      </c>
      <c r="F37" s="6">
        <v>81072.472</v>
      </c>
      <c r="G37" s="6">
        <v>56750.7</v>
      </c>
      <c r="H37" s="6"/>
      <c r="O37" s="6">
        <v>749.11</v>
      </c>
      <c r="R37" s="6" t="s">
        <v>316</v>
      </c>
      <c r="U37" s="35">
        <v>42619.79853</v>
      </c>
      <c r="W37" s="35">
        <v>98845.50732</v>
      </c>
      <c r="X37" s="6">
        <v>303.38955</v>
      </c>
      <c r="Y37" s="35">
        <v>19621.56697</v>
      </c>
      <c r="Z37" s="6">
        <v>161390</v>
      </c>
    </row>
    <row r="38" s="2" customFormat="1" spans="1:26">
      <c r="A38" s="2">
        <v>15</v>
      </c>
      <c r="B38" s="2">
        <v>2013</v>
      </c>
      <c r="C38" s="2" t="s">
        <v>309</v>
      </c>
      <c r="D38" s="2">
        <v>70624</v>
      </c>
      <c r="E38" s="2" t="s">
        <v>58</v>
      </c>
      <c r="F38" s="6">
        <v>50321.767</v>
      </c>
      <c r="G38" s="6">
        <v>31104.18</v>
      </c>
      <c r="H38" s="6"/>
      <c r="J38" s="6">
        <v>690</v>
      </c>
      <c r="O38" s="6">
        <v>1177.37</v>
      </c>
      <c r="U38" s="6">
        <v>26454.15</v>
      </c>
      <c r="W38" s="6">
        <v>56311.87</v>
      </c>
      <c r="X38" s="6">
        <v>518.04</v>
      </c>
      <c r="Z38" s="2">
        <v>83284.06</v>
      </c>
    </row>
    <row r="39" s="2" customFormat="1" spans="2:26">
      <c r="B39" s="2">
        <v>2014</v>
      </c>
      <c r="C39" s="2" t="s">
        <v>309</v>
      </c>
      <c r="D39" s="2">
        <v>118965</v>
      </c>
      <c r="E39" s="2" t="s">
        <v>58</v>
      </c>
      <c r="F39" s="6">
        <v>65971.576</v>
      </c>
      <c r="G39" s="6">
        <v>73187.42</v>
      </c>
      <c r="H39" s="6"/>
      <c r="J39" s="6">
        <v>645</v>
      </c>
      <c r="O39" s="6">
        <v>3712.8</v>
      </c>
      <c r="U39" s="6">
        <v>34681.26</v>
      </c>
      <c r="W39" s="6">
        <v>129471.02</v>
      </c>
      <c r="X39" s="6">
        <v>1633.63</v>
      </c>
      <c r="Z39" s="2">
        <v>165785.91</v>
      </c>
    </row>
    <row r="40" s="2" customFormat="1" spans="2:26">
      <c r="B40" s="2">
        <v>2015</v>
      </c>
      <c r="C40" s="2" t="s">
        <v>309</v>
      </c>
      <c r="D40" s="2">
        <v>151799</v>
      </c>
      <c r="E40" s="2" t="s">
        <v>58</v>
      </c>
      <c r="F40" s="6">
        <v>88216.2</v>
      </c>
      <c r="G40" s="6">
        <v>80865.98</v>
      </c>
      <c r="H40" s="6"/>
      <c r="J40" s="6">
        <v>684</v>
      </c>
      <c r="O40" s="6">
        <v>3453.91</v>
      </c>
      <c r="U40" s="6">
        <v>46375.26</v>
      </c>
      <c r="W40" s="6">
        <v>142965.88</v>
      </c>
      <c r="X40" s="6">
        <v>1519.72</v>
      </c>
      <c r="Z40" s="2">
        <v>190860.86</v>
      </c>
    </row>
    <row r="41" s="2" customFormat="1" spans="1:26">
      <c r="A41" s="2">
        <v>16</v>
      </c>
      <c r="B41" s="2">
        <v>2018</v>
      </c>
      <c r="C41" s="2" t="s">
        <v>313</v>
      </c>
      <c r="D41" s="2">
        <v>260784.09</v>
      </c>
      <c r="E41" s="2" t="s">
        <v>58</v>
      </c>
      <c r="F41" s="2">
        <v>124330.49</v>
      </c>
      <c r="G41" s="2">
        <v>69499.17</v>
      </c>
      <c r="J41" s="2">
        <v>331.23</v>
      </c>
      <c r="R41" s="2">
        <v>257760</v>
      </c>
      <c r="U41" s="2">
        <v>96592.36</v>
      </c>
      <c r="W41" s="2">
        <v>137891.92</v>
      </c>
      <c r="Y41" s="6">
        <v>2293.83</v>
      </c>
      <c r="Z41" s="2">
        <v>236778</v>
      </c>
    </row>
    <row r="42" s="2" customFormat="1" spans="1:26">
      <c r="A42" s="2">
        <v>17</v>
      </c>
      <c r="B42" s="2">
        <v>2016</v>
      </c>
      <c r="C42" s="2" t="s">
        <v>313</v>
      </c>
      <c r="D42" s="6">
        <v>21831</v>
      </c>
      <c r="E42" s="2" t="s">
        <v>58</v>
      </c>
      <c r="F42" s="6">
        <v>14155.92</v>
      </c>
      <c r="J42" s="6">
        <v>239.47</v>
      </c>
      <c r="Q42" s="8">
        <v>263690.8</v>
      </c>
      <c r="U42" s="6">
        <v>12518.08</v>
      </c>
      <c r="V42" s="6">
        <v>29005.99</v>
      </c>
      <c r="W42" s="6">
        <v>741.38</v>
      </c>
      <c r="Z42" s="6">
        <v>42265</v>
      </c>
    </row>
    <row r="43" s="2" customFormat="1" spans="2:26">
      <c r="B43" s="2">
        <v>2017</v>
      </c>
      <c r="C43" s="2" t="s">
        <v>313</v>
      </c>
      <c r="D43" s="6">
        <v>1859</v>
      </c>
      <c r="E43" s="2" t="s">
        <v>58</v>
      </c>
      <c r="F43" s="6">
        <v>1204.88</v>
      </c>
      <c r="J43" s="6">
        <v>22.54</v>
      </c>
      <c r="Q43" s="8">
        <v>19331.9</v>
      </c>
      <c r="U43" s="6">
        <v>1065.48</v>
      </c>
      <c r="V43" s="6">
        <v>2126.51</v>
      </c>
      <c r="W43" s="6">
        <v>69.78</v>
      </c>
      <c r="Z43" s="6">
        <v>3262</v>
      </c>
    </row>
    <row r="44" s="2" customFormat="1" spans="1:26">
      <c r="A44" s="2">
        <v>18</v>
      </c>
      <c r="B44" s="2">
        <v>2016</v>
      </c>
      <c r="C44" s="2" t="s">
        <v>313</v>
      </c>
      <c r="D44" s="6">
        <v>115566</v>
      </c>
      <c r="E44" s="2" t="s">
        <v>58</v>
      </c>
      <c r="F44" s="6">
        <v>73122.9</v>
      </c>
      <c r="J44" s="6">
        <v>183.58</v>
      </c>
      <c r="Q44" s="8">
        <v>1038009.6</v>
      </c>
      <c r="R44" s="6">
        <v>1318040</v>
      </c>
      <c r="U44" s="6">
        <v>64662.58</v>
      </c>
      <c r="V44" s="6">
        <v>114181.06</v>
      </c>
      <c r="W44" s="6">
        <v>568.35</v>
      </c>
      <c r="Y44" s="6">
        <v>14483.99</v>
      </c>
      <c r="Z44" s="6">
        <v>193896</v>
      </c>
    </row>
    <row r="45" s="2" customFormat="1" spans="2:26">
      <c r="B45" s="2">
        <v>2017</v>
      </c>
      <c r="C45" s="2" t="s">
        <v>313</v>
      </c>
      <c r="D45" s="6">
        <v>111301</v>
      </c>
      <c r="E45" s="2" t="s">
        <v>58</v>
      </c>
      <c r="F45" s="6">
        <v>68310.25</v>
      </c>
      <c r="J45" s="6">
        <v>202.03</v>
      </c>
      <c r="Q45" s="8">
        <v>1067230.6</v>
      </c>
      <c r="R45" s="6">
        <v>1624185</v>
      </c>
      <c r="U45" s="6">
        <v>60406.75</v>
      </c>
      <c r="V45" s="6">
        <v>117395.37</v>
      </c>
      <c r="W45" s="6">
        <v>625.47</v>
      </c>
      <c r="Y45" s="6">
        <v>16755.5</v>
      </c>
      <c r="Z45" s="6">
        <v>195183</v>
      </c>
    </row>
    <row r="46" s="2" customFormat="1" spans="1:26">
      <c r="A46" s="2">
        <v>19</v>
      </c>
      <c r="B46" s="2">
        <v>2017</v>
      </c>
      <c r="C46" s="2" t="s">
        <v>313</v>
      </c>
      <c r="D46" s="6">
        <v>310903</v>
      </c>
      <c r="E46" s="2" t="s">
        <v>58</v>
      </c>
      <c r="G46" s="6">
        <v>208512.81</v>
      </c>
      <c r="H46" s="6"/>
      <c r="J46" s="6">
        <v>473.578</v>
      </c>
      <c r="M46" s="6">
        <v>15.469</v>
      </c>
      <c r="N46" s="6"/>
      <c r="O46" s="6">
        <v>4927.83</v>
      </c>
      <c r="R46" s="6">
        <v>3073829.59</v>
      </c>
      <c r="W46" s="35">
        <v>385389.91</v>
      </c>
      <c r="X46" s="6">
        <v>2168.25</v>
      </c>
      <c r="Y46" s="6">
        <v>15382.36</v>
      </c>
      <c r="Z46" s="6">
        <v>387558</v>
      </c>
    </row>
    <row r="47" s="2" customFormat="1" spans="1:26">
      <c r="A47" s="2">
        <v>20</v>
      </c>
      <c r="B47" s="2">
        <v>2016</v>
      </c>
      <c r="F47" s="33">
        <v>16477.47</v>
      </c>
      <c r="G47" s="33">
        <v>119159</v>
      </c>
      <c r="H47" s="33"/>
      <c r="J47" s="33">
        <v>774.81</v>
      </c>
      <c r="U47" s="33">
        <v>8662.21</v>
      </c>
      <c r="W47" s="33">
        <v>192627.35</v>
      </c>
      <c r="Z47" s="33">
        <v>201290</v>
      </c>
    </row>
    <row r="48" s="2" customFormat="1" spans="1:26">
      <c r="A48" s="2">
        <v>21</v>
      </c>
      <c r="B48" s="2">
        <v>2016</v>
      </c>
      <c r="C48" s="2" t="s">
        <v>313</v>
      </c>
      <c r="D48" s="34">
        <v>179377.14</v>
      </c>
      <c r="E48" s="2" t="s">
        <v>58</v>
      </c>
      <c r="F48" s="34">
        <v>95769.431</v>
      </c>
      <c r="G48" s="34">
        <v>39603.293</v>
      </c>
      <c r="H48" s="34"/>
      <c r="J48" s="34">
        <v>252.04</v>
      </c>
      <c r="U48" s="34">
        <v>74403.27</v>
      </c>
      <c r="V48" s="36"/>
      <c r="W48" s="34">
        <v>84492.69</v>
      </c>
      <c r="X48" s="36"/>
      <c r="Y48" s="36"/>
      <c r="Z48" s="34">
        <v>158896</v>
      </c>
    </row>
    <row r="49" s="2" customFormat="1" spans="2:26">
      <c r="B49" s="2">
        <v>2017</v>
      </c>
      <c r="C49" s="2" t="s">
        <v>313</v>
      </c>
      <c r="D49" s="34">
        <v>241780.75</v>
      </c>
      <c r="E49" s="2" t="s">
        <v>58</v>
      </c>
      <c r="F49" s="34">
        <v>108386.164</v>
      </c>
      <c r="G49" s="34">
        <v>59680.461</v>
      </c>
      <c r="H49" s="34"/>
      <c r="J49" s="34">
        <v>196.76</v>
      </c>
      <c r="U49" s="34">
        <v>84205.21</v>
      </c>
      <c r="V49" s="36"/>
      <c r="W49" s="34">
        <v>122617.08</v>
      </c>
      <c r="X49" s="36"/>
      <c r="Y49" s="36"/>
      <c r="Z49" s="34">
        <v>206822</v>
      </c>
    </row>
    <row r="50" s="2" customFormat="1" spans="1:26">
      <c r="A50" s="2">
        <v>22</v>
      </c>
      <c r="B50" s="2">
        <v>2016</v>
      </c>
      <c r="C50" s="2" t="s">
        <v>309</v>
      </c>
      <c r="D50" s="2">
        <v>218759</v>
      </c>
      <c r="E50" s="2" t="s">
        <v>58</v>
      </c>
      <c r="F50" s="2">
        <v>170370.78</v>
      </c>
      <c r="J50" s="2">
        <v>14.22</v>
      </c>
      <c r="N50" s="2">
        <v>421.0751</v>
      </c>
      <c r="Q50" s="6">
        <v>1102639.05</v>
      </c>
      <c r="U50" s="2">
        <v>89563.92</v>
      </c>
      <c r="V50" s="2">
        <v>121290.3</v>
      </c>
      <c r="W50" s="2">
        <v>9148.46</v>
      </c>
      <c r="Z50" s="2">
        <v>220003</v>
      </c>
    </row>
    <row r="51" s="2" customFormat="1" spans="2:26">
      <c r="B51" s="2">
        <v>2017</v>
      </c>
      <c r="C51" s="2" t="s">
        <v>309</v>
      </c>
      <c r="D51" s="2">
        <v>223303</v>
      </c>
      <c r="E51" s="2" t="s">
        <v>58</v>
      </c>
      <c r="F51" s="2">
        <v>160276.6</v>
      </c>
      <c r="N51" s="2">
        <v>370.1043</v>
      </c>
      <c r="Q51" s="2">
        <v>1100787.7</v>
      </c>
      <c r="U51" s="2">
        <v>84257.41</v>
      </c>
      <c r="V51" s="2">
        <v>121086.65</v>
      </c>
      <c r="W51" s="2">
        <v>8002.35</v>
      </c>
      <c r="Z51" s="2">
        <v>213346</v>
      </c>
    </row>
    <row r="52" s="2" customFormat="1" spans="1:26">
      <c r="A52" s="2">
        <v>23</v>
      </c>
      <c r="B52" s="2">
        <v>2016</v>
      </c>
      <c r="C52" s="2" t="s">
        <v>317</v>
      </c>
      <c r="D52" s="6">
        <v>466592.172</v>
      </c>
      <c r="E52" s="2" t="s">
        <v>58</v>
      </c>
      <c r="F52" s="2">
        <v>111305.531</v>
      </c>
      <c r="G52" s="2">
        <v>129823</v>
      </c>
      <c r="J52" s="2">
        <v>212.53</v>
      </c>
      <c r="O52" s="2">
        <v>10928.4</v>
      </c>
      <c r="R52" s="2">
        <v>3432769</v>
      </c>
      <c r="U52" s="6">
        <v>58513.32</v>
      </c>
      <c r="W52" s="6">
        <v>239664.42</v>
      </c>
      <c r="X52" s="6">
        <v>4327.65</v>
      </c>
      <c r="Y52" s="6">
        <v>8760.58</v>
      </c>
      <c r="Z52" s="2">
        <v>311266</v>
      </c>
    </row>
    <row r="53" s="2" customFormat="1" spans="2:26">
      <c r="B53" s="2">
        <v>2017</v>
      </c>
      <c r="C53" s="2" t="s">
        <v>317</v>
      </c>
      <c r="D53" s="2">
        <v>392096.637</v>
      </c>
      <c r="E53" s="2" t="s">
        <v>58</v>
      </c>
      <c r="F53" s="2">
        <v>96728.73</v>
      </c>
      <c r="G53" s="2">
        <v>112960.76</v>
      </c>
      <c r="J53" s="2">
        <v>269.23</v>
      </c>
      <c r="O53" s="2">
        <v>4098.04</v>
      </c>
      <c r="R53" s="2">
        <v>2131722.77</v>
      </c>
      <c r="U53" s="2">
        <v>50850.29</v>
      </c>
      <c r="W53" s="2">
        <v>208796.29</v>
      </c>
      <c r="X53" s="2">
        <v>1622.82</v>
      </c>
      <c r="Y53" s="2">
        <v>4014.13</v>
      </c>
      <c r="Z53" s="2">
        <v>265284</v>
      </c>
    </row>
    <row r="54" s="2" customFormat="1" spans="1:26">
      <c r="A54" s="2">
        <v>24</v>
      </c>
      <c r="B54" s="2">
        <v>2016</v>
      </c>
      <c r="C54" s="2" t="s">
        <v>318</v>
      </c>
      <c r="D54" s="2">
        <v>255894.2</v>
      </c>
      <c r="E54" s="2" t="s">
        <v>58</v>
      </c>
      <c r="F54" s="6">
        <v>33931.8</v>
      </c>
      <c r="G54" s="6">
        <v>120872</v>
      </c>
      <c r="H54" s="6"/>
      <c r="J54" s="6">
        <v>226.73</v>
      </c>
      <c r="O54" s="6">
        <v>3096.15</v>
      </c>
      <c r="R54" s="6">
        <v>1555525.28</v>
      </c>
      <c r="U54" s="6">
        <v>20701.79</v>
      </c>
      <c r="W54" s="6">
        <v>223229.42</v>
      </c>
      <c r="X54" s="6">
        <v>1226.08</v>
      </c>
      <c r="Y54" s="6">
        <v>7064.03</v>
      </c>
      <c r="Z54" s="8">
        <v>270058.79</v>
      </c>
    </row>
    <row r="55" s="2" customFormat="1" spans="2:26">
      <c r="B55" s="2">
        <v>2017</v>
      </c>
      <c r="C55" s="2" t="s">
        <v>318</v>
      </c>
      <c r="D55" s="2">
        <v>448604.8</v>
      </c>
      <c r="E55" s="2" t="s">
        <v>58</v>
      </c>
      <c r="G55" s="6">
        <v>210070.38</v>
      </c>
      <c r="H55" s="6"/>
      <c r="J55" s="6">
        <v>304.67</v>
      </c>
      <c r="O55" s="6">
        <v>3479.32</v>
      </c>
      <c r="R55" s="2">
        <v>2689051.87</v>
      </c>
      <c r="W55" s="2">
        <v>387686.51</v>
      </c>
      <c r="X55" s="2">
        <v>1377.81</v>
      </c>
      <c r="Y55" s="2">
        <v>8689.33</v>
      </c>
      <c r="Z55" s="2">
        <v>397754</v>
      </c>
    </row>
    <row r="56" s="2" customFormat="1" spans="1:26">
      <c r="A56" s="2">
        <v>25</v>
      </c>
      <c r="B56" s="2">
        <v>2017</v>
      </c>
      <c r="C56" s="2" t="s">
        <v>319</v>
      </c>
      <c r="D56" s="6">
        <v>240940</v>
      </c>
      <c r="E56" s="2" t="s">
        <v>58</v>
      </c>
      <c r="F56" s="2">
        <v>82640.11</v>
      </c>
      <c r="G56" s="2">
        <v>23282</v>
      </c>
      <c r="J56" s="6">
        <v>164.3</v>
      </c>
      <c r="N56" s="2">
        <v>4348.8937</v>
      </c>
      <c r="O56" s="2">
        <v>882.71</v>
      </c>
      <c r="U56" s="2">
        <v>43443.91</v>
      </c>
      <c r="W56" s="2">
        <v>135091.3</v>
      </c>
      <c r="X56" s="2">
        <v>357.5</v>
      </c>
      <c r="Z56" s="2">
        <v>178893</v>
      </c>
    </row>
    <row r="57" s="2" customFormat="1" spans="1:26">
      <c r="A57" s="2">
        <v>26</v>
      </c>
      <c r="B57" s="2">
        <v>2016</v>
      </c>
      <c r="C57" s="2" t="s">
        <v>313</v>
      </c>
      <c r="D57" s="33">
        <v>86073</v>
      </c>
      <c r="E57" s="2" t="s">
        <v>58</v>
      </c>
      <c r="F57" s="33">
        <v>50228.3</v>
      </c>
      <c r="G57" s="33">
        <v>76758</v>
      </c>
      <c r="H57" s="33"/>
      <c r="J57" s="33">
        <v>98.28</v>
      </c>
      <c r="K57" s="33">
        <v>101.9</v>
      </c>
      <c r="L57" s="33"/>
      <c r="U57" s="33">
        <v>26405.02</v>
      </c>
      <c r="W57" s="33">
        <v>144308.63</v>
      </c>
      <c r="Z57" s="33">
        <v>170714</v>
      </c>
    </row>
    <row r="58" s="2" customFormat="1" spans="2:26">
      <c r="B58" s="2">
        <v>2017</v>
      </c>
      <c r="C58" s="2" t="s">
        <v>313</v>
      </c>
      <c r="D58" s="33">
        <v>94647</v>
      </c>
      <c r="E58" s="2" t="s">
        <v>58</v>
      </c>
      <c r="F58" s="33">
        <v>60932.88</v>
      </c>
      <c r="G58" s="33">
        <v>64703</v>
      </c>
      <c r="H58" s="33"/>
      <c r="J58" s="33">
        <v>97.21</v>
      </c>
      <c r="K58" s="33">
        <v>67.78</v>
      </c>
      <c r="L58" s="33"/>
      <c r="U58" s="33">
        <v>32032.42</v>
      </c>
      <c r="W58" s="33">
        <v>121984.74</v>
      </c>
      <c r="Z58" s="33">
        <v>154017</v>
      </c>
    </row>
    <row r="59" s="2" customFormat="1" spans="1:26">
      <c r="A59" s="2">
        <v>27</v>
      </c>
      <c r="B59" s="2">
        <v>2017</v>
      </c>
      <c r="C59" s="2" t="s">
        <v>309</v>
      </c>
      <c r="D59" s="2">
        <v>145710</v>
      </c>
      <c r="E59" s="2" t="s">
        <v>58</v>
      </c>
      <c r="F59" s="2">
        <v>53507.132</v>
      </c>
      <c r="G59" s="2">
        <v>18789.5</v>
      </c>
      <c r="H59" s="2">
        <v>15586.23</v>
      </c>
      <c r="J59" s="6">
        <v>92</v>
      </c>
      <c r="R59" s="2">
        <v>1036952.57</v>
      </c>
      <c r="U59" s="2">
        <v>28128.7</v>
      </c>
      <c r="W59" s="2">
        <v>72312.3</v>
      </c>
      <c r="Y59" s="2">
        <v>2315.8</v>
      </c>
      <c r="Z59" s="2">
        <v>102757</v>
      </c>
    </row>
    <row r="60" s="2" customFormat="1" spans="1:26">
      <c r="A60" s="2">
        <v>28</v>
      </c>
      <c r="B60" s="2">
        <v>2017</v>
      </c>
      <c r="C60" s="2" t="s">
        <v>318</v>
      </c>
      <c r="D60" s="2">
        <v>74830</v>
      </c>
      <c r="E60" s="2" t="s">
        <v>58</v>
      </c>
      <c r="F60" s="2">
        <v>13546.226</v>
      </c>
      <c r="G60" s="2">
        <v>34482.61</v>
      </c>
      <c r="O60" s="2">
        <v>985.02</v>
      </c>
      <c r="U60" s="2">
        <v>7121.25</v>
      </c>
      <c r="W60" s="2">
        <v>63483.1</v>
      </c>
      <c r="X60" s="2">
        <v>390.07</v>
      </c>
      <c r="Z60" s="2">
        <v>70994</v>
      </c>
    </row>
    <row r="61" s="2" customFormat="1" spans="1:26">
      <c r="A61" s="2">
        <v>29</v>
      </c>
      <c r="B61" s="2">
        <v>2016</v>
      </c>
      <c r="C61" s="2" t="s">
        <v>320</v>
      </c>
      <c r="D61" s="2">
        <v>54075</v>
      </c>
      <c r="E61" s="2" t="s">
        <v>58</v>
      </c>
      <c r="F61" s="2">
        <v>28186.328</v>
      </c>
      <c r="J61" s="2">
        <v>27.8</v>
      </c>
      <c r="L61" s="2">
        <v>16.96</v>
      </c>
      <c r="Q61" s="2">
        <v>261592.47</v>
      </c>
      <c r="S61" s="2">
        <v>2657207.87</v>
      </c>
      <c r="U61" s="2">
        <v>14817.55</v>
      </c>
      <c r="V61" s="2">
        <v>28775.17</v>
      </c>
      <c r="W61" s="2">
        <v>135.68</v>
      </c>
      <c r="Y61" s="2">
        <v>11713.4</v>
      </c>
      <c r="Z61" s="2">
        <v>55442</v>
      </c>
    </row>
    <row r="62" s="2" customFormat="1" spans="2:26">
      <c r="B62" s="2">
        <v>2017</v>
      </c>
      <c r="C62" s="2" t="s">
        <v>320</v>
      </c>
      <c r="D62" s="2">
        <v>74973</v>
      </c>
      <c r="E62" s="2" t="s">
        <v>58</v>
      </c>
      <c r="F62" s="2">
        <v>34738.8</v>
      </c>
      <c r="J62" s="2">
        <v>32.095</v>
      </c>
      <c r="L62" s="2">
        <v>21.872</v>
      </c>
      <c r="Q62" s="2">
        <v>282589.15</v>
      </c>
      <c r="R62" s="2">
        <v>2586355</v>
      </c>
      <c r="U62" s="2">
        <v>18262.19</v>
      </c>
      <c r="V62" s="2">
        <v>31084.81</v>
      </c>
      <c r="W62" s="2">
        <v>163.34</v>
      </c>
      <c r="Y62" s="2">
        <v>11460.82</v>
      </c>
      <c r="Z62" s="2">
        <v>60971</v>
      </c>
    </row>
    <row r="63" s="2" customFormat="1"/>
    <row r="64" s="2" customForma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workbookViewId="0">
      <pane ySplit="1" topLeftCell="A2" activePane="bottomLeft" state="frozen"/>
      <selection/>
      <selection pane="bottomLeft" activeCell="X1" sqref="X$1:X$1048576"/>
    </sheetView>
  </sheetViews>
  <sheetFormatPr defaultColWidth="9" defaultRowHeight="14"/>
  <cols>
    <col min="1" max="2" width="9.10833333333333" customWidth="1"/>
    <col min="4" max="4" width="13" customWidth="1"/>
    <col min="6" max="12" width="9.10833333333333" customWidth="1"/>
    <col min="13" max="13" width="13" customWidth="1"/>
    <col min="14" max="22" width="9.10833333333333" customWidth="1"/>
    <col min="23" max="23" width="12.5583333333333" customWidth="1"/>
    <col min="24" max="24" width="9.10833333333333" customWidth="1"/>
    <col min="25" max="25" width="12.4416666666667" customWidth="1"/>
    <col min="26" max="26" width="12.775" customWidth="1"/>
  </cols>
  <sheetData>
    <row r="1" s="2" customFormat="1" ht="56" spans="1:26">
      <c r="A1" s="30" t="s">
        <v>282</v>
      </c>
      <c r="B1" s="30" t="s">
        <v>283</v>
      </c>
      <c r="C1" s="30" t="s">
        <v>284</v>
      </c>
      <c r="D1" s="30" t="s">
        <v>285</v>
      </c>
      <c r="E1" s="30" t="s">
        <v>286</v>
      </c>
      <c r="F1" s="30" t="s">
        <v>287</v>
      </c>
      <c r="G1" s="30" t="s">
        <v>321</v>
      </c>
      <c r="H1" s="30" t="s">
        <v>322</v>
      </c>
      <c r="I1" s="30" t="s">
        <v>323</v>
      </c>
      <c r="J1" s="30" t="s">
        <v>324</v>
      </c>
      <c r="K1" s="30" t="s">
        <v>325</v>
      </c>
      <c r="L1" s="30" t="s">
        <v>326</v>
      </c>
      <c r="M1" s="30" t="s">
        <v>327</v>
      </c>
      <c r="N1" s="30" t="s">
        <v>328</v>
      </c>
      <c r="O1" s="30" t="s">
        <v>329</v>
      </c>
      <c r="P1" s="30" t="s">
        <v>330</v>
      </c>
      <c r="Q1" s="30" t="s">
        <v>331</v>
      </c>
      <c r="R1" s="30" t="s">
        <v>332</v>
      </c>
      <c r="S1" s="30" t="s">
        <v>333</v>
      </c>
      <c r="T1" s="30" t="s">
        <v>334</v>
      </c>
      <c r="U1" s="30" t="s">
        <v>335</v>
      </c>
      <c r="V1" s="31" t="s">
        <v>336</v>
      </c>
      <c r="W1" s="31" t="s">
        <v>337</v>
      </c>
      <c r="X1" s="31" t="s">
        <v>338</v>
      </c>
      <c r="Y1" s="31" t="s">
        <v>339</v>
      </c>
      <c r="Z1" s="31" t="s">
        <v>340</v>
      </c>
    </row>
    <row r="2" s="2" customFormat="1" spans="1:26">
      <c r="A2" s="2">
        <v>1</v>
      </c>
      <c r="B2" s="2">
        <v>2018</v>
      </c>
      <c r="C2" s="2" t="s">
        <v>341</v>
      </c>
      <c r="D2" s="2">
        <v>137.68</v>
      </c>
      <c r="E2" s="2" t="s">
        <v>342</v>
      </c>
      <c r="F2" s="2">
        <v>16435.72</v>
      </c>
      <c r="H2" s="2">
        <v>58.41</v>
      </c>
      <c r="N2" s="2">
        <v>7.2665</v>
      </c>
      <c r="O2" s="2">
        <v>1236.616</v>
      </c>
      <c r="P2" s="2">
        <v>1684.257</v>
      </c>
      <c r="Q2" s="2">
        <v>35.785</v>
      </c>
      <c r="S2" s="2">
        <v>12843.577</v>
      </c>
      <c r="T2" s="2">
        <v>14110.018</v>
      </c>
      <c r="V2" s="2">
        <v>14534.11</v>
      </c>
      <c r="W2" s="2">
        <v>27113.38</v>
      </c>
      <c r="X2" s="2">
        <v>131.21</v>
      </c>
      <c r="Y2" s="2">
        <v>12725.61</v>
      </c>
      <c r="Z2" s="2">
        <v>54504</v>
      </c>
    </row>
    <row r="3" s="2" customFormat="1" spans="1:26">
      <c r="A3" s="2">
        <v>2</v>
      </c>
      <c r="B3" s="2">
        <v>2018</v>
      </c>
      <c r="C3" s="2" t="s">
        <v>341</v>
      </c>
      <c r="D3" s="2">
        <v>78.8639</v>
      </c>
      <c r="E3" s="2" t="s">
        <v>342</v>
      </c>
      <c r="F3" s="2">
        <v>3056.568</v>
      </c>
      <c r="H3" s="2">
        <v>21.73</v>
      </c>
      <c r="O3" s="2">
        <v>723.486</v>
      </c>
      <c r="P3" s="2">
        <v>2885.66</v>
      </c>
      <c r="S3" s="2">
        <v>6772.53</v>
      </c>
      <c r="T3" s="2">
        <v>9469.19</v>
      </c>
      <c r="V3" s="2">
        <v>2702.92</v>
      </c>
      <c r="W3" s="2">
        <v>15810.65</v>
      </c>
      <c r="Y3" s="2">
        <v>8430.47</v>
      </c>
      <c r="Z3" s="2">
        <v>26944</v>
      </c>
    </row>
    <row r="4" s="2" customFormat="1" spans="1:26">
      <c r="A4" s="2">
        <v>3</v>
      </c>
      <c r="B4" s="2">
        <v>2018</v>
      </c>
      <c r="C4" s="2" t="s">
        <v>341</v>
      </c>
      <c r="D4" s="2">
        <v>11.04</v>
      </c>
      <c r="E4" s="2" t="s">
        <v>342</v>
      </c>
      <c r="F4" s="2">
        <v>583.78</v>
      </c>
      <c r="H4" s="2">
        <v>4</v>
      </c>
      <c r="O4" s="2">
        <v>127.1168</v>
      </c>
      <c r="P4" s="2">
        <v>483.18</v>
      </c>
      <c r="S4" s="2">
        <v>1485.62</v>
      </c>
      <c r="T4" s="2">
        <v>1084.64</v>
      </c>
      <c r="V4" s="2">
        <v>516.24</v>
      </c>
      <c r="W4" s="2">
        <v>2778.51</v>
      </c>
      <c r="Y4" s="2">
        <v>1371.62</v>
      </c>
      <c r="Z4" s="2">
        <v>4666</v>
      </c>
    </row>
    <row r="5" s="2" customFormat="1" spans="1:26">
      <c r="A5" s="2">
        <v>4</v>
      </c>
      <c r="B5" s="2">
        <v>2015</v>
      </c>
      <c r="C5" s="2" t="s">
        <v>341</v>
      </c>
      <c r="F5" s="6">
        <v>7545.6</v>
      </c>
      <c r="G5" s="6"/>
      <c r="H5" s="6">
        <v>29.97534</v>
      </c>
      <c r="I5" s="6"/>
      <c r="J5" s="6">
        <v>9.175</v>
      </c>
      <c r="K5" s="6">
        <v>8928.87</v>
      </c>
      <c r="L5" s="6"/>
      <c r="M5" s="6"/>
      <c r="P5" s="6">
        <v>2714.794</v>
      </c>
      <c r="S5" s="6">
        <v>2923.879</v>
      </c>
      <c r="T5" s="6">
        <v>6011.344</v>
      </c>
      <c r="U5" s="6"/>
      <c r="V5" s="2">
        <v>3966.7</v>
      </c>
      <c r="W5" s="2">
        <v>23976.2</v>
      </c>
      <c r="Y5" s="2">
        <v>5083.6</v>
      </c>
      <c r="Z5" s="2">
        <v>33026.5</v>
      </c>
    </row>
    <row r="6" s="2" customFormat="1" spans="1:26">
      <c r="A6" s="2">
        <v>5</v>
      </c>
      <c r="B6" s="2">
        <v>2016</v>
      </c>
      <c r="C6" s="2" t="s">
        <v>341</v>
      </c>
      <c r="D6" s="6">
        <v>3383915.23</v>
      </c>
      <c r="E6" s="2" t="s">
        <v>58</v>
      </c>
      <c r="F6" s="2">
        <v>20837.942</v>
      </c>
      <c r="G6" s="2">
        <v>618</v>
      </c>
      <c r="H6" s="2">
        <v>88.14</v>
      </c>
      <c r="L6" s="2">
        <v>32603.61</v>
      </c>
      <c r="M6" s="2">
        <v>10788932.5</v>
      </c>
      <c r="N6" s="2">
        <v>2.1</v>
      </c>
      <c r="O6" s="2">
        <v>15.2321</v>
      </c>
      <c r="P6" s="2">
        <v>9575.801</v>
      </c>
      <c r="S6" s="2">
        <v>30304.191</v>
      </c>
      <c r="T6" s="2">
        <v>36872.92</v>
      </c>
      <c r="V6" s="2">
        <v>18426.99</v>
      </c>
      <c r="W6" s="2">
        <v>117872.36</v>
      </c>
      <c r="Y6" s="2">
        <v>33974.68</v>
      </c>
      <c r="Z6" s="2">
        <v>170274</v>
      </c>
    </row>
    <row r="7" s="2" customFormat="1" spans="2:26">
      <c r="B7" s="2">
        <v>2017</v>
      </c>
      <c r="C7" s="2" t="s">
        <v>341</v>
      </c>
      <c r="D7" s="6">
        <v>3739558.29</v>
      </c>
      <c r="E7" s="2" t="s">
        <v>58</v>
      </c>
      <c r="F7" s="2">
        <v>17185.837</v>
      </c>
      <c r="H7" s="2">
        <v>93.02</v>
      </c>
      <c r="L7" s="2">
        <v>4575.37</v>
      </c>
      <c r="M7" s="2">
        <v>26093260.5</v>
      </c>
      <c r="N7" s="2">
        <v>1.956</v>
      </c>
      <c r="O7" s="2">
        <v>1881.134037</v>
      </c>
      <c r="P7" s="2">
        <v>10679.1</v>
      </c>
      <c r="S7" s="2">
        <v>30615.249</v>
      </c>
      <c r="T7" s="2">
        <v>39269.784</v>
      </c>
      <c r="V7" s="2">
        <v>15197.44</v>
      </c>
      <c r="W7" s="2">
        <v>78658.19</v>
      </c>
      <c r="Y7" s="2">
        <v>35602.8</v>
      </c>
      <c r="Z7" s="2">
        <v>129458</v>
      </c>
    </row>
    <row r="8" s="2" customFormat="1" spans="1:26">
      <c r="A8" s="2">
        <v>6</v>
      </c>
      <c r="B8" s="2">
        <v>2013</v>
      </c>
      <c r="C8" s="2" t="s">
        <v>343</v>
      </c>
      <c r="D8" s="2" t="s">
        <v>344</v>
      </c>
      <c r="E8" s="2" t="s">
        <v>58</v>
      </c>
      <c r="F8" s="2">
        <v>16846.011</v>
      </c>
      <c r="H8" s="2">
        <v>64.7641623</v>
      </c>
      <c r="O8" s="6">
        <v>4011.8969</v>
      </c>
      <c r="P8" s="2">
        <v>13302.60323</v>
      </c>
      <c r="Q8" s="6">
        <v>81.676</v>
      </c>
      <c r="R8" s="6"/>
      <c r="S8" s="2">
        <v>38849.97915</v>
      </c>
      <c r="T8" s="2">
        <v>50572.64427</v>
      </c>
      <c r="V8" s="2">
        <v>8856</v>
      </c>
      <c r="W8" s="2">
        <v>87499.4</v>
      </c>
      <c r="X8" s="2">
        <v>248.5</v>
      </c>
      <c r="Y8" s="2">
        <v>45376.8</v>
      </c>
      <c r="Z8" s="2">
        <v>141981</v>
      </c>
    </row>
    <row r="9" s="2" customFormat="1" spans="2:26">
      <c r="B9" s="2">
        <v>2014</v>
      </c>
      <c r="C9" s="2" t="s">
        <v>345</v>
      </c>
      <c r="D9" s="2" t="s">
        <v>346</v>
      </c>
      <c r="E9" s="2" t="s">
        <v>58</v>
      </c>
      <c r="F9" s="2">
        <v>24833.2171</v>
      </c>
      <c r="H9" s="2">
        <v>144.7669013</v>
      </c>
      <c r="O9" s="6">
        <v>8912.6352</v>
      </c>
      <c r="P9" s="6">
        <v>29512.94</v>
      </c>
      <c r="Q9" s="6">
        <v>89.0735</v>
      </c>
      <c r="R9" s="6"/>
      <c r="S9" s="2">
        <v>73380.236</v>
      </c>
      <c r="T9" s="2">
        <v>98237.92773</v>
      </c>
      <c r="V9" s="2">
        <v>13054.8</v>
      </c>
      <c r="W9" s="2">
        <v>194387.2</v>
      </c>
      <c r="X9" s="2">
        <v>269.9</v>
      </c>
      <c r="Y9" s="2">
        <v>88763.9</v>
      </c>
      <c r="Z9" s="2">
        <v>296476</v>
      </c>
    </row>
    <row r="10" s="2" customFormat="1" spans="2:26">
      <c r="B10" s="2">
        <v>2015</v>
      </c>
      <c r="C10" s="2" t="s">
        <v>347</v>
      </c>
      <c r="D10" s="2" t="s">
        <v>348</v>
      </c>
      <c r="E10" s="2" t="s">
        <v>58</v>
      </c>
      <c r="F10" s="2">
        <v>4943.99</v>
      </c>
      <c r="H10" s="2">
        <v>130.1083</v>
      </c>
      <c r="O10" s="6">
        <v>8821.5769</v>
      </c>
      <c r="P10" s="6">
        <v>30360.537</v>
      </c>
      <c r="Q10" s="6">
        <v>80.346</v>
      </c>
      <c r="R10" s="6"/>
      <c r="S10" s="2">
        <v>75491.581</v>
      </c>
      <c r="T10" s="2">
        <v>100843.618</v>
      </c>
      <c r="V10" s="2">
        <v>2599.1</v>
      </c>
      <c r="W10" s="2">
        <v>192360</v>
      </c>
      <c r="X10" s="2">
        <v>251.6</v>
      </c>
      <c r="Y10" s="2">
        <v>91225.5</v>
      </c>
      <c r="Z10" s="2">
        <v>286436</v>
      </c>
    </row>
    <row r="11" s="2" customFormat="1" spans="1:26">
      <c r="A11" s="2">
        <v>7</v>
      </c>
      <c r="B11" s="2">
        <v>2013</v>
      </c>
      <c r="F11" s="6">
        <v>4339.445</v>
      </c>
      <c r="G11" s="6">
        <v>6739.81</v>
      </c>
      <c r="H11" s="2">
        <v>25.67</v>
      </c>
      <c r="R11" s="6">
        <v>1046.4</v>
      </c>
      <c r="T11" s="6">
        <v>1333.38</v>
      </c>
      <c r="U11" s="6"/>
      <c r="V11" s="6">
        <v>2281.25</v>
      </c>
      <c r="W11" s="6">
        <v>13336.73</v>
      </c>
      <c r="Y11" s="6">
        <v>1186.68</v>
      </c>
      <c r="Z11" s="6">
        <v>16805</v>
      </c>
    </row>
    <row r="12" s="2" customFormat="1" spans="2:26">
      <c r="B12" s="2">
        <v>2014</v>
      </c>
      <c r="F12" s="6">
        <v>3685.145</v>
      </c>
      <c r="G12" s="6">
        <v>5581.44</v>
      </c>
      <c r="H12" s="2">
        <v>2.89</v>
      </c>
      <c r="R12" s="6">
        <v>1075.24</v>
      </c>
      <c r="T12" s="6">
        <v>1165.06</v>
      </c>
      <c r="U12" s="6"/>
      <c r="V12" s="6">
        <v>1937.28</v>
      </c>
      <c r="W12" s="6">
        <v>10987.11</v>
      </c>
      <c r="Y12" s="6">
        <v>956.2</v>
      </c>
      <c r="Z12" s="6">
        <v>13881</v>
      </c>
    </row>
    <row r="13" s="2" customFormat="1" spans="2:26">
      <c r="B13" s="2">
        <v>2015</v>
      </c>
      <c r="F13" s="6">
        <v>4142.925</v>
      </c>
      <c r="G13" s="6">
        <v>6712.07</v>
      </c>
      <c r="H13" s="2">
        <v>12.6</v>
      </c>
      <c r="R13" s="6">
        <v>2011.4</v>
      </c>
      <c r="T13" s="6">
        <v>2351.65</v>
      </c>
      <c r="U13" s="6"/>
      <c r="V13" s="6">
        <v>2177.94</v>
      </c>
      <c r="W13" s="6">
        <v>13241.3</v>
      </c>
      <c r="Y13" s="6">
        <v>1860.18</v>
      </c>
      <c r="Z13" s="6">
        <v>17279</v>
      </c>
    </row>
    <row r="14" s="2" customFormat="1" spans="2:26">
      <c r="B14" s="2">
        <v>2016</v>
      </c>
      <c r="F14" s="6">
        <v>5725.665</v>
      </c>
      <c r="G14" s="6">
        <v>8760.73</v>
      </c>
      <c r="H14" s="2">
        <v>13.26</v>
      </c>
      <c r="R14" s="6">
        <v>2749.37</v>
      </c>
      <c r="T14" s="6">
        <v>3324.82</v>
      </c>
      <c r="U14" s="6"/>
      <c r="V14" s="6">
        <v>3009.98</v>
      </c>
      <c r="W14" s="6">
        <v>17272.85</v>
      </c>
      <c r="Y14" s="6">
        <v>2588.46</v>
      </c>
      <c r="Z14" s="6">
        <v>22871</v>
      </c>
    </row>
    <row r="15" s="2" customFormat="1" spans="1:26">
      <c r="A15" s="2">
        <v>8</v>
      </c>
      <c r="B15" s="2">
        <v>2013</v>
      </c>
      <c r="F15" s="2">
        <v>17161.219</v>
      </c>
      <c r="G15" s="6">
        <v>16582.33</v>
      </c>
      <c r="H15" s="6">
        <v>30.17</v>
      </c>
      <c r="I15" s="6"/>
      <c r="R15" s="6">
        <v>5123.88</v>
      </c>
      <c r="T15" s="6">
        <v>8738.93</v>
      </c>
      <c r="U15" s="6">
        <v>565.6</v>
      </c>
      <c r="V15" s="6">
        <v>9021.65</v>
      </c>
      <c r="W15" s="6">
        <v>32709.94</v>
      </c>
      <c r="Y15" s="6">
        <v>6005.11</v>
      </c>
      <c r="Z15" s="6">
        <v>47737</v>
      </c>
    </row>
    <row r="16" s="2" customFormat="1" spans="2:26">
      <c r="B16" s="2">
        <v>2014</v>
      </c>
      <c r="F16" s="2">
        <v>16138.199</v>
      </c>
      <c r="G16" s="6">
        <v>20172.87</v>
      </c>
      <c r="H16" s="6">
        <v>63.85</v>
      </c>
      <c r="I16" s="6"/>
      <c r="R16" s="6">
        <v>6637.1</v>
      </c>
      <c r="T16" s="6">
        <v>9126.86</v>
      </c>
      <c r="U16" s="6">
        <v>280.3</v>
      </c>
      <c r="V16" s="6">
        <v>8483.85</v>
      </c>
      <c r="W16" s="6">
        <v>39877.48</v>
      </c>
      <c r="Y16" s="6">
        <v>6767.82</v>
      </c>
      <c r="Z16" s="6">
        <v>55129</v>
      </c>
    </row>
    <row r="17" s="2" customFormat="1" spans="2:26">
      <c r="B17" s="2">
        <v>2015</v>
      </c>
      <c r="F17" s="2">
        <v>18349.063</v>
      </c>
      <c r="G17" s="6">
        <v>21111.82</v>
      </c>
      <c r="H17" s="6">
        <v>46.6</v>
      </c>
      <c r="I17" s="6"/>
      <c r="O17" s="6">
        <v>46.03</v>
      </c>
      <c r="R17" s="6">
        <v>9330.51</v>
      </c>
      <c r="T17" s="6">
        <v>12610.43</v>
      </c>
      <c r="U17" s="6">
        <v>170.43</v>
      </c>
      <c r="V17" s="6">
        <v>9646.1</v>
      </c>
      <c r="W17" s="6">
        <v>42671.94</v>
      </c>
      <c r="Y17" s="6">
        <v>9373.04</v>
      </c>
      <c r="Z17" s="6">
        <v>61691</v>
      </c>
    </row>
    <row r="18" s="2" customFormat="1" spans="2:26">
      <c r="B18" s="2">
        <v>2016</v>
      </c>
      <c r="F18" s="2">
        <v>14161.39</v>
      </c>
      <c r="G18" s="6">
        <v>18551.13</v>
      </c>
      <c r="H18" s="6">
        <v>46.5</v>
      </c>
      <c r="I18" s="6"/>
      <c r="O18" s="6">
        <v>33.63</v>
      </c>
      <c r="R18" s="6">
        <v>7173.56</v>
      </c>
      <c r="T18" s="6">
        <v>9241.78</v>
      </c>
      <c r="U18" s="6">
        <v>50.94</v>
      </c>
      <c r="V18" s="6">
        <v>7444.64</v>
      </c>
      <c r="W18" s="6">
        <v>37365.17</v>
      </c>
      <c r="Y18" s="6">
        <v>7000.25</v>
      </c>
      <c r="Z18" s="6">
        <v>51810</v>
      </c>
    </row>
    <row r="19" s="2" customFormat="1" spans="1:26">
      <c r="A19" s="2">
        <v>9</v>
      </c>
      <c r="B19" s="2">
        <v>2013</v>
      </c>
      <c r="C19" s="2" t="s">
        <v>341</v>
      </c>
      <c r="D19" s="2">
        <v>18178913.28</v>
      </c>
      <c r="E19" s="2" t="s">
        <v>342</v>
      </c>
      <c r="F19" s="2">
        <v>48200</v>
      </c>
      <c r="H19" s="2">
        <v>487</v>
      </c>
      <c r="I19" s="2">
        <v>6</v>
      </c>
      <c r="L19" s="2">
        <v>200921.58</v>
      </c>
      <c r="O19" s="2">
        <v>4805.05</v>
      </c>
      <c r="P19" s="2">
        <v>53883</v>
      </c>
      <c r="Q19" s="2">
        <v>163.88</v>
      </c>
      <c r="S19" s="2">
        <v>151830</v>
      </c>
      <c r="T19" s="2">
        <v>198337</v>
      </c>
      <c r="V19" s="2">
        <v>25338.7</v>
      </c>
      <c r="W19" s="2">
        <v>636529.3</v>
      </c>
      <c r="X19" s="2">
        <v>525.4</v>
      </c>
      <c r="Y19" s="2">
        <v>176883.2</v>
      </c>
      <c r="Z19" s="2">
        <v>839276.7</v>
      </c>
    </row>
    <row r="20" s="2" customFormat="1" spans="2:26">
      <c r="B20" s="2">
        <v>2014</v>
      </c>
      <c r="C20" s="2" t="s">
        <v>341</v>
      </c>
      <c r="D20" s="2">
        <v>23173630.39</v>
      </c>
      <c r="E20" s="2" t="s">
        <v>342</v>
      </c>
      <c r="F20" s="2">
        <v>66910</v>
      </c>
      <c r="H20" s="2">
        <v>454.11</v>
      </c>
      <c r="I20" s="2">
        <v>4.55</v>
      </c>
      <c r="L20" s="2">
        <v>287639.83</v>
      </c>
      <c r="O20" s="2">
        <v>3048.24</v>
      </c>
      <c r="P20" s="2">
        <v>69823.3</v>
      </c>
      <c r="Q20" s="2">
        <v>216.56</v>
      </c>
      <c r="S20" s="2">
        <v>195154.83</v>
      </c>
      <c r="T20" s="2">
        <v>255087.07</v>
      </c>
      <c r="V20" s="2">
        <v>35174.6</v>
      </c>
      <c r="W20" s="2">
        <v>825021.6</v>
      </c>
      <c r="X20" s="2">
        <v>696.1</v>
      </c>
      <c r="Y20" s="2">
        <v>227140.5</v>
      </c>
      <c r="Z20" s="2">
        <v>1088032.7</v>
      </c>
    </row>
    <row r="21" s="2" customFormat="1" spans="2:26">
      <c r="B21" s="2">
        <v>2015</v>
      </c>
      <c r="C21" s="2" t="s">
        <v>341</v>
      </c>
      <c r="D21" s="2">
        <v>21910957.8</v>
      </c>
      <c r="E21" s="2" t="s">
        <v>342</v>
      </c>
      <c r="F21" s="2">
        <v>86889.3</v>
      </c>
      <c r="H21" s="2">
        <v>370.42</v>
      </c>
      <c r="I21" s="2">
        <v>5.83</v>
      </c>
      <c r="L21" s="2">
        <v>234516.33</v>
      </c>
      <c r="O21" s="2">
        <v>685.03</v>
      </c>
      <c r="P21" s="2">
        <v>58919.9</v>
      </c>
      <c r="Q21" s="2">
        <v>239.94</v>
      </c>
      <c r="S21" s="2">
        <v>184686.92</v>
      </c>
      <c r="T21" s="2">
        <v>235870.37</v>
      </c>
      <c r="V21" s="2">
        <v>45677.7</v>
      </c>
      <c r="W21" s="2">
        <v>631765.2</v>
      </c>
      <c r="X21" s="2">
        <v>776.3</v>
      </c>
      <c r="Y21" s="2">
        <v>210046.4</v>
      </c>
      <c r="Z21" s="2">
        <v>888265.6</v>
      </c>
    </row>
    <row r="22" s="2" customFormat="1" spans="1:26">
      <c r="A22" s="2">
        <v>10</v>
      </c>
      <c r="B22" s="2">
        <v>2013</v>
      </c>
      <c r="C22" s="2" t="s">
        <v>341</v>
      </c>
      <c r="D22" s="6">
        <v>1372</v>
      </c>
      <c r="E22" s="2" t="s">
        <v>342</v>
      </c>
      <c r="F22" s="2">
        <v>47430.6</v>
      </c>
      <c r="H22" s="6">
        <v>180.14</v>
      </c>
      <c r="L22" s="6">
        <v>154322</v>
      </c>
      <c r="O22" s="6">
        <v>102.7892</v>
      </c>
      <c r="P22" s="6">
        <v>36767.762</v>
      </c>
      <c r="Q22" s="6">
        <v>356.97</v>
      </c>
      <c r="S22" s="6">
        <v>116088.6</v>
      </c>
      <c r="T22" s="6">
        <v>146027.3</v>
      </c>
      <c r="V22" s="6">
        <v>24934.27</v>
      </c>
      <c r="W22" s="8">
        <v>475537.02</v>
      </c>
      <c r="X22" s="6">
        <v>1308.88</v>
      </c>
      <c r="Y22" s="8">
        <v>131345.32</v>
      </c>
      <c r="Z22" s="6">
        <v>633125</v>
      </c>
    </row>
    <row r="23" s="2" customFormat="1" spans="2:26">
      <c r="B23" s="2">
        <v>2014</v>
      </c>
      <c r="C23" s="2" t="s">
        <v>341</v>
      </c>
      <c r="D23" s="6">
        <v>1580</v>
      </c>
      <c r="E23" s="2" t="s">
        <v>342</v>
      </c>
      <c r="F23" s="2">
        <v>46454.9</v>
      </c>
      <c r="H23" s="6">
        <v>216.53</v>
      </c>
      <c r="L23" s="6">
        <v>164988</v>
      </c>
      <c r="O23" s="6">
        <v>29.9151</v>
      </c>
      <c r="P23" s="6">
        <v>42271.14</v>
      </c>
      <c r="Q23" s="6">
        <v>197.12</v>
      </c>
      <c r="S23" s="6">
        <v>134183.5</v>
      </c>
      <c r="T23" s="6">
        <v>168838.796</v>
      </c>
      <c r="V23" s="6">
        <v>24421.36</v>
      </c>
      <c r="W23" s="8">
        <v>506739.47</v>
      </c>
      <c r="X23" s="6">
        <v>722.79</v>
      </c>
      <c r="Y23" s="8">
        <v>152799.29</v>
      </c>
      <c r="Z23" s="6">
        <v>684683</v>
      </c>
    </row>
    <row r="24" s="2" customFormat="1" spans="2:26">
      <c r="B24" s="2">
        <v>2015</v>
      </c>
      <c r="C24" s="2" t="s">
        <v>341</v>
      </c>
      <c r="D24" s="6">
        <v>1464</v>
      </c>
      <c r="E24" s="2" t="s">
        <v>342</v>
      </c>
      <c r="F24" s="2">
        <v>63774.9</v>
      </c>
      <c r="H24" s="6">
        <v>193.15</v>
      </c>
      <c r="L24" s="6">
        <v>134490</v>
      </c>
      <c r="O24" s="6">
        <v>64.6409</v>
      </c>
      <c r="P24" s="6">
        <v>39027.034</v>
      </c>
      <c r="Q24" s="6">
        <v>82.63</v>
      </c>
      <c r="S24" s="6">
        <v>126483.4298</v>
      </c>
      <c r="T24" s="6">
        <v>160684.1</v>
      </c>
      <c r="V24" s="6">
        <v>33526.46</v>
      </c>
      <c r="W24" s="8">
        <v>413996.13</v>
      </c>
      <c r="X24" s="6">
        <v>302.99</v>
      </c>
      <c r="Y24" s="8">
        <v>144380.92</v>
      </c>
      <c r="Z24" s="6">
        <v>592207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workbookViewId="0">
      <pane xSplit="1" topLeftCell="B1" activePane="topRight" state="frozen"/>
      <selection/>
      <selection pane="topRight" activeCell="A1" sqref="A1"/>
    </sheetView>
  </sheetViews>
  <sheetFormatPr defaultColWidth="9" defaultRowHeight="14"/>
  <cols>
    <col min="1" max="1" width="5" style="19" customWidth="1"/>
    <col min="2" max="2" width="5.44166666666667" style="19" customWidth="1"/>
    <col min="3" max="3" width="32.6666666666667" style="19" customWidth="1"/>
    <col min="4" max="4" width="21.1083333333333" style="19" customWidth="1"/>
    <col min="5" max="5" width="20" style="19" customWidth="1"/>
    <col min="6" max="6" width="10.4416666666667" style="19" customWidth="1"/>
    <col min="7" max="7" width="9.10833333333333" style="20" customWidth="1"/>
    <col min="8" max="8" width="8.10833333333333" style="19" customWidth="1"/>
    <col min="9" max="9" width="20.8833333333333" style="19" customWidth="1"/>
    <col min="10" max="10" width="15.8833333333333" style="19" customWidth="1"/>
    <col min="11" max="11" width="11.8833333333333" style="19" customWidth="1"/>
    <col min="12" max="12" width="12.6666666666667" style="19" customWidth="1"/>
    <col min="13" max="13" width="13.8833333333333" style="19" customWidth="1"/>
    <col min="14" max="14" width="7.88333333333333" style="19" customWidth="1"/>
    <col min="15" max="15" width="13.8833333333333" style="19" customWidth="1"/>
    <col min="16" max="16" width="11.8833333333333" style="19" customWidth="1"/>
    <col min="17" max="17" width="9" style="19"/>
    <col min="18" max="18" width="8.10833333333333" style="19" customWidth="1"/>
    <col min="19" max="19" width="18.1083333333333" style="19" customWidth="1"/>
    <col min="20" max="20" width="9" style="19"/>
    <col min="21" max="21" width="13.1083333333333" style="19" customWidth="1"/>
    <col min="22" max="22" width="13.8833333333333" style="19" customWidth="1"/>
    <col min="23" max="23" width="14.4416666666667" style="19" customWidth="1"/>
    <col min="24" max="24" width="9.44166666666667" style="19" customWidth="1"/>
    <col min="25" max="16384" width="9" style="19"/>
  </cols>
  <sheetData>
    <row r="1" ht="28" spans="1:25">
      <c r="A1" s="21" t="s">
        <v>0</v>
      </c>
      <c r="B1" s="21" t="s">
        <v>1</v>
      </c>
      <c r="C1" s="21" t="s">
        <v>2</v>
      </c>
      <c r="D1" s="21" t="s">
        <v>4</v>
      </c>
      <c r="E1" s="21" t="s">
        <v>5</v>
      </c>
      <c r="F1" s="21" t="s">
        <v>349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19</v>
      </c>
      <c r="M1" s="21" t="s">
        <v>350</v>
      </c>
      <c r="N1" s="21" t="s">
        <v>33</v>
      </c>
      <c r="O1" s="21" t="s">
        <v>34</v>
      </c>
      <c r="P1" s="21" t="s">
        <v>35</v>
      </c>
      <c r="Q1" s="21" t="s">
        <v>33</v>
      </c>
      <c r="R1" s="21" t="s">
        <v>36</v>
      </c>
      <c r="S1" s="21" t="s">
        <v>37</v>
      </c>
      <c r="T1" s="21" t="s">
        <v>33</v>
      </c>
      <c r="U1" s="27" t="s">
        <v>351</v>
      </c>
      <c r="V1" s="27" t="s">
        <v>39</v>
      </c>
      <c r="W1" s="27" t="s">
        <v>52</v>
      </c>
      <c r="X1" s="27" t="s">
        <v>53</v>
      </c>
      <c r="Y1" s="19" t="s">
        <v>352</v>
      </c>
    </row>
    <row r="2" spans="1:25">
      <c r="A2" s="21">
        <v>1</v>
      </c>
      <c r="B2" s="21">
        <v>2016</v>
      </c>
      <c r="C2" s="21" t="s">
        <v>353</v>
      </c>
      <c r="D2" s="21" t="s">
        <v>354</v>
      </c>
      <c r="E2" s="21" t="s">
        <v>355</v>
      </c>
      <c r="F2" s="22">
        <v>172718</v>
      </c>
      <c r="G2" s="23" t="s">
        <v>356</v>
      </c>
      <c r="H2" s="21" t="s">
        <v>357</v>
      </c>
      <c r="I2" s="21" t="s">
        <v>358</v>
      </c>
      <c r="J2" s="21"/>
      <c r="K2" s="21"/>
      <c r="L2" s="22">
        <v>32619.524</v>
      </c>
      <c r="M2" s="22">
        <v>47828.859</v>
      </c>
      <c r="N2" s="21" t="s">
        <v>359</v>
      </c>
      <c r="O2" s="22">
        <v>84</v>
      </c>
      <c r="P2" s="21"/>
      <c r="Q2" s="21"/>
      <c r="R2" s="21"/>
      <c r="S2" s="21"/>
      <c r="T2" s="21"/>
      <c r="U2" s="22">
        <v>17148.08</v>
      </c>
      <c r="V2" s="22">
        <v>106582.09</v>
      </c>
      <c r="W2" s="22"/>
      <c r="X2" s="28">
        <f t="shared" ref="X2:X15" si="0">SUM(U2:W2)</f>
        <v>123730.17</v>
      </c>
      <c r="Y2" s="19">
        <f>V2/U2</f>
        <v>6.21539495966895</v>
      </c>
    </row>
    <row r="3" spans="1:25">
      <c r="A3" s="21">
        <v>2</v>
      </c>
      <c r="B3" s="21">
        <v>2016</v>
      </c>
      <c r="C3" s="21" t="s">
        <v>360</v>
      </c>
      <c r="D3" s="21" t="s">
        <v>354</v>
      </c>
      <c r="E3" s="21" t="s">
        <v>355</v>
      </c>
      <c r="F3" s="22">
        <f>14645.8*2.6</f>
        <v>38079.08</v>
      </c>
      <c r="G3" s="23" t="s">
        <v>356</v>
      </c>
      <c r="H3" s="21" t="s">
        <v>357</v>
      </c>
      <c r="I3" s="21" t="s">
        <v>361</v>
      </c>
      <c r="J3" s="21" t="s">
        <v>362</v>
      </c>
      <c r="K3" s="21" t="s">
        <v>363</v>
      </c>
      <c r="L3" s="22">
        <v>15674.371</v>
      </c>
      <c r="M3" s="22">
        <v>116303.54</v>
      </c>
      <c r="N3" s="21" t="s">
        <v>364</v>
      </c>
      <c r="O3" s="22">
        <v>132.64</v>
      </c>
      <c r="P3" s="21"/>
      <c r="Q3" s="21"/>
      <c r="R3" s="21"/>
      <c r="S3" s="21"/>
      <c r="T3" s="21"/>
      <c r="U3" s="22">
        <v>8240.0168</v>
      </c>
      <c r="V3" s="22">
        <v>226831.36</v>
      </c>
      <c r="W3" s="22"/>
      <c r="X3" s="28">
        <f t="shared" si="0"/>
        <v>235071.3768</v>
      </c>
      <c r="Y3" s="19">
        <f t="shared" ref="Y3:Y30" si="1">V3/U3</f>
        <v>27.5280215448104</v>
      </c>
    </row>
    <row r="4" spans="1:25">
      <c r="A4" s="21">
        <v>3</v>
      </c>
      <c r="B4" s="21">
        <v>2015</v>
      </c>
      <c r="C4" s="21" t="s">
        <v>365</v>
      </c>
      <c r="D4" s="21" t="s">
        <v>354</v>
      </c>
      <c r="E4" s="21" t="s">
        <v>355</v>
      </c>
      <c r="F4" s="22">
        <v>416770</v>
      </c>
      <c r="G4" s="23" t="s">
        <v>356</v>
      </c>
      <c r="H4" s="21" t="s">
        <v>357</v>
      </c>
      <c r="I4" s="21" t="s">
        <v>366</v>
      </c>
      <c r="J4" s="21" t="s">
        <v>367</v>
      </c>
      <c r="K4" s="21"/>
      <c r="L4" s="22">
        <v>35914.092</v>
      </c>
      <c r="M4" s="22">
        <v>98461.422734375</v>
      </c>
      <c r="N4" s="21" t="s">
        <v>364</v>
      </c>
      <c r="O4" s="22"/>
      <c r="P4" s="21"/>
      <c r="Q4" s="21"/>
      <c r="R4" s="21"/>
      <c r="S4" s="21"/>
      <c r="T4" s="21"/>
      <c r="U4" s="22">
        <v>18880.04</v>
      </c>
      <c r="V4" s="22">
        <v>220448.22</v>
      </c>
      <c r="W4" s="22"/>
      <c r="X4" s="28">
        <f t="shared" si="0"/>
        <v>239328.26</v>
      </c>
      <c r="Y4" s="19">
        <f t="shared" si="1"/>
        <v>11.6762581011481</v>
      </c>
    </row>
    <row r="5" spans="1:25">
      <c r="A5" s="21">
        <v>4</v>
      </c>
      <c r="B5" s="21">
        <v>2015</v>
      </c>
      <c r="C5" s="21" t="s">
        <v>368</v>
      </c>
      <c r="D5" s="21" t="s">
        <v>354</v>
      </c>
      <c r="E5" s="21"/>
      <c r="F5" s="22">
        <v>352258</v>
      </c>
      <c r="G5" s="23" t="s">
        <v>356</v>
      </c>
      <c r="H5" s="21" t="s">
        <v>357</v>
      </c>
      <c r="I5" s="21" t="s">
        <v>369</v>
      </c>
      <c r="J5" s="21" t="s">
        <v>367</v>
      </c>
      <c r="K5" s="21"/>
      <c r="L5" s="22">
        <v>36952.72</v>
      </c>
      <c r="M5" s="22">
        <v>99747.241796875</v>
      </c>
      <c r="N5" s="21" t="s">
        <v>364</v>
      </c>
      <c r="O5" s="23">
        <v>165</v>
      </c>
      <c r="P5" s="21"/>
      <c r="Q5" s="21"/>
      <c r="R5" s="21"/>
      <c r="S5" s="21"/>
      <c r="T5" s="21"/>
      <c r="U5" s="22">
        <v>19426.05</v>
      </c>
      <c r="V5" s="22">
        <v>223424.3</v>
      </c>
      <c r="W5" s="22"/>
      <c r="X5" s="28">
        <f t="shared" si="0"/>
        <v>242850.35</v>
      </c>
      <c r="Y5" s="19">
        <f t="shared" si="1"/>
        <v>11.5012727754742</v>
      </c>
    </row>
    <row r="6" s="18" customFormat="1" spans="1:25">
      <c r="A6" s="24">
        <v>5</v>
      </c>
      <c r="B6" s="24">
        <v>2015</v>
      </c>
      <c r="C6" s="25" t="s">
        <v>370</v>
      </c>
      <c r="D6" s="25" t="s">
        <v>371</v>
      </c>
      <c r="E6" s="25" t="s">
        <v>372</v>
      </c>
      <c r="F6" s="25"/>
      <c r="G6" s="25"/>
      <c r="H6" s="24" t="s">
        <v>373</v>
      </c>
      <c r="I6" s="25" t="s">
        <v>374</v>
      </c>
      <c r="J6" s="25" t="s">
        <v>375</v>
      </c>
      <c r="K6" s="24" t="s">
        <v>376</v>
      </c>
      <c r="L6" s="25">
        <v>20878.33</v>
      </c>
      <c r="M6" s="25">
        <v>50138</v>
      </c>
      <c r="N6" s="25" t="s">
        <v>377</v>
      </c>
      <c r="O6" s="25">
        <v>65.37</v>
      </c>
      <c r="P6" s="24"/>
      <c r="Q6" s="24"/>
      <c r="R6" s="24"/>
      <c r="S6" s="24"/>
      <c r="T6" s="24"/>
      <c r="U6" s="25">
        <v>10975.74</v>
      </c>
      <c r="V6" s="25">
        <v>97806.29</v>
      </c>
      <c r="W6" s="25">
        <v>-875.56</v>
      </c>
      <c r="X6" s="29">
        <f t="shared" si="0"/>
        <v>107906.47</v>
      </c>
      <c r="Y6" s="18">
        <f t="shared" si="1"/>
        <v>8.91113401009864</v>
      </c>
    </row>
    <row r="7" s="18" customFormat="1" spans="1:25">
      <c r="A7" s="24">
        <v>6</v>
      </c>
      <c r="B7" s="24">
        <v>2015</v>
      </c>
      <c r="C7" s="25" t="s">
        <v>378</v>
      </c>
      <c r="D7" s="25" t="s">
        <v>371</v>
      </c>
      <c r="E7" s="25" t="s">
        <v>379</v>
      </c>
      <c r="F7" s="24">
        <v>375060</v>
      </c>
      <c r="G7" s="26" t="s">
        <v>356</v>
      </c>
      <c r="H7" s="24" t="s">
        <v>357</v>
      </c>
      <c r="I7" s="24" t="s">
        <v>380</v>
      </c>
      <c r="J7" s="24" t="s">
        <v>381</v>
      </c>
      <c r="K7" s="24" t="s">
        <v>382</v>
      </c>
      <c r="L7" s="25">
        <v>39752.24</v>
      </c>
      <c r="M7" s="25">
        <v>88828.8548867188</v>
      </c>
      <c r="N7" s="25" t="s">
        <v>377</v>
      </c>
      <c r="O7" s="25">
        <v>187.3</v>
      </c>
      <c r="P7" s="24"/>
      <c r="Q7" s="24"/>
      <c r="R7" s="24"/>
      <c r="S7" s="24"/>
      <c r="T7" s="24"/>
      <c r="U7" s="25">
        <v>20897.75</v>
      </c>
      <c r="V7" s="25">
        <v>202912</v>
      </c>
      <c r="W7" s="25"/>
      <c r="X7" s="29">
        <f t="shared" si="0"/>
        <v>223809.75</v>
      </c>
      <c r="Y7" s="18">
        <f t="shared" si="1"/>
        <v>9.70975344235623</v>
      </c>
    </row>
    <row r="8" s="18" customFormat="1" spans="1:25">
      <c r="A8" s="24">
        <v>7</v>
      </c>
      <c r="B8" s="24">
        <v>2016</v>
      </c>
      <c r="C8" s="25" t="s">
        <v>383</v>
      </c>
      <c r="D8" s="25" t="s">
        <v>371</v>
      </c>
      <c r="E8" s="25" t="s">
        <v>379</v>
      </c>
      <c r="F8" s="25">
        <v>137154</v>
      </c>
      <c r="G8" s="26" t="s">
        <v>356</v>
      </c>
      <c r="H8" s="24" t="s">
        <v>384</v>
      </c>
      <c r="I8" s="24" t="s">
        <v>385</v>
      </c>
      <c r="J8" s="24" t="s">
        <v>386</v>
      </c>
      <c r="K8" s="24"/>
      <c r="L8" s="25">
        <v>10410.103</v>
      </c>
      <c r="M8" s="25">
        <v>36185.39</v>
      </c>
      <c r="N8" s="25" t="s">
        <v>377</v>
      </c>
      <c r="O8" s="25">
        <v>248.09</v>
      </c>
      <c r="P8" s="24"/>
      <c r="Q8" s="24"/>
      <c r="R8" s="24"/>
      <c r="S8" s="24"/>
      <c r="T8" s="24"/>
      <c r="U8" s="25">
        <v>5472.59</v>
      </c>
      <c r="V8" s="25">
        <v>71211.06</v>
      </c>
      <c r="W8" s="25"/>
      <c r="X8" s="29">
        <f t="shared" si="0"/>
        <v>76683.65</v>
      </c>
      <c r="Y8" s="18">
        <f t="shared" si="1"/>
        <v>13.0123140962506</v>
      </c>
    </row>
    <row r="9" s="18" customFormat="1" spans="1:25">
      <c r="A9" s="24">
        <v>8</v>
      </c>
      <c r="B9" s="24">
        <v>2016</v>
      </c>
      <c r="C9" s="24" t="s">
        <v>387</v>
      </c>
      <c r="D9" s="25" t="s">
        <v>371</v>
      </c>
      <c r="E9" s="25" t="s">
        <v>372</v>
      </c>
      <c r="F9" s="25">
        <v>230149</v>
      </c>
      <c r="G9" s="25" t="s">
        <v>356</v>
      </c>
      <c r="H9" s="25" t="s">
        <v>388</v>
      </c>
      <c r="I9" s="25" t="s">
        <v>389</v>
      </c>
      <c r="J9" s="25" t="s">
        <v>390</v>
      </c>
      <c r="K9" s="25"/>
      <c r="L9" s="25">
        <v>44524.82</v>
      </c>
      <c r="M9" s="25">
        <v>11882.33</v>
      </c>
      <c r="N9" s="25" t="s">
        <v>377</v>
      </c>
      <c r="O9" s="25">
        <v>260.08</v>
      </c>
      <c r="P9" s="25"/>
      <c r="Q9" s="24"/>
      <c r="R9" s="24"/>
      <c r="S9" s="24"/>
      <c r="T9" s="24"/>
      <c r="U9" s="25">
        <v>23406.7</v>
      </c>
      <c r="V9" s="25">
        <v>144830.56</v>
      </c>
      <c r="W9" s="25"/>
      <c r="X9" s="29">
        <f t="shared" si="0"/>
        <v>168237.26</v>
      </c>
      <c r="Y9" s="18">
        <f t="shared" si="1"/>
        <v>6.18756851670675</v>
      </c>
    </row>
    <row r="10" s="18" customFormat="1" spans="1:25">
      <c r="A10" s="24">
        <v>9</v>
      </c>
      <c r="B10" s="24">
        <v>2016</v>
      </c>
      <c r="C10" s="24" t="s">
        <v>391</v>
      </c>
      <c r="D10" s="25" t="s">
        <v>371</v>
      </c>
      <c r="E10" s="25" t="s">
        <v>372</v>
      </c>
      <c r="F10" s="25">
        <v>43015</v>
      </c>
      <c r="G10" s="25" t="s">
        <v>356</v>
      </c>
      <c r="H10" s="24" t="s">
        <v>392</v>
      </c>
      <c r="I10" s="24" t="s">
        <v>393</v>
      </c>
      <c r="J10" s="24" t="s">
        <v>394</v>
      </c>
      <c r="K10" s="24"/>
      <c r="L10" s="25">
        <v>29447.063</v>
      </c>
      <c r="M10" s="25">
        <v>9152.29</v>
      </c>
      <c r="N10" s="25" t="s">
        <v>377</v>
      </c>
      <c r="O10" s="25">
        <v>148.09</v>
      </c>
      <c r="P10" s="24"/>
      <c r="Q10" s="24"/>
      <c r="R10" s="24"/>
      <c r="S10" s="24"/>
      <c r="T10" s="24"/>
      <c r="U10" s="25">
        <v>15480.32</v>
      </c>
      <c r="V10" s="25">
        <v>18275.76</v>
      </c>
      <c r="W10" s="25"/>
      <c r="X10" s="29">
        <f t="shared" si="0"/>
        <v>33756.08</v>
      </c>
      <c r="Y10" s="18">
        <f t="shared" si="1"/>
        <v>1.18058024640317</v>
      </c>
    </row>
    <row r="11" s="18" customFormat="1" spans="1:25">
      <c r="A11" s="24">
        <v>10</v>
      </c>
      <c r="B11" s="24">
        <v>2016</v>
      </c>
      <c r="C11" s="24" t="s">
        <v>395</v>
      </c>
      <c r="D11" s="25" t="s">
        <v>371</v>
      </c>
      <c r="E11" s="25" t="s">
        <v>372</v>
      </c>
      <c r="F11" s="25">
        <v>380287</v>
      </c>
      <c r="G11" s="25" t="s">
        <v>356</v>
      </c>
      <c r="H11" s="24"/>
      <c r="I11" s="24" t="s">
        <v>385</v>
      </c>
      <c r="J11" s="24"/>
      <c r="K11" s="24"/>
      <c r="L11" s="25">
        <v>32058.88</v>
      </c>
      <c r="M11" s="25">
        <v>139640.37</v>
      </c>
      <c r="N11" s="25" t="s">
        <v>377</v>
      </c>
      <c r="O11" s="25">
        <v>56.77</v>
      </c>
      <c r="P11" s="24"/>
      <c r="Q11" s="24"/>
      <c r="R11" s="24"/>
      <c r="S11" s="24"/>
      <c r="T11" s="24"/>
      <c r="U11" s="25">
        <v>16853.35</v>
      </c>
      <c r="V11" s="25">
        <v>272013.96</v>
      </c>
      <c r="W11" s="25"/>
      <c r="X11" s="29">
        <f t="shared" si="0"/>
        <v>288867.31</v>
      </c>
      <c r="Y11" s="18">
        <f t="shared" si="1"/>
        <v>16.1400528678275</v>
      </c>
    </row>
    <row r="12" s="18" customFormat="1" spans="1:25">
      <c r="A12" s="24">
        <v>11</v>
      </c>
      <c r="B12" s="24">
        <v>2016</v>
      </c>
      <c r="C12" s="24" t="s">
        <v>396</v>
      </c>
      <c r="D12" s="25" t="s">
        <v>371</v>
      </c>
      <c r="E12" s="25" t="s">
        <v>372</v>
      </c>
      <c r="F12" s="25">
        <v>34983.64</v>
      </c>
      <c r="G12" s="25" t="s">
        <v>356</v>
      </c>
      <c r="H12" s="24" t="s">
        <v>397</v>
      </c>
      <c r="I12" s="24" t="s">
        <v>398</v>
      </c>
      <c r="J12" s="24" t="s">
        <v>386</v>
      </c>
      <c r="K12" s="24" t="s">
        <v>399</v>
      </c>
      <c r="L12" s="25">
        <v>28762.736</v>
      </c>
      <c r="M12" s="25">
        <v>6891.85</v>
      </c>
      <c r="N12" s="25" t="s">
        <v>377</v>
      </c>
      <c r="O12" s="25">
        <v>101.19</v>
      </c>
      <c r="P12" s="24"/>
      <c r="Q12" s="24"/>
      <c r="R12" s="24"/>
      <c r="S12" s="24"/>
      <c r="T12" s="24"/>
      <c r="U12" s="25">
        <v>15120.57</v>
      </c>
      <c r="V12" s="25">
        <v>13730</v>
      </c>
      <c r="W12" s="25"/>
      <c r="X12" s="29">
        <f t="shared" si="0"/>
        <v>28850.57</v>
      </c>
      <c r="Y12" s="18">
        <f t="shared" si="1"/>
        <v>0.908034551607512</v>
      </c>
    </row>
    <row r="13" s="18" customFormat="1" spans="1:25">
      <c r="A13" s="24">
        <v>12</v>
      </c>
      <c r="B13" s="24">
        <v>2016</v>
      </c>
      <c r="C13" s="24" t="s">
        <v>400</v>
      </c>
      <c r="D13" s="25" t="s">
        <v>371</v>
      </c>
      <c r="E13" s="25" t="s">
        <v>372</v>
      </c>
      <c r="F13" s="25">
        <v>209208</v>
      </c>
      <c r="G13" s="25" t="s">
        <v>356</v>
      </c>
      <c r="H13" s="24" t="s">
        <v>397</v>
      </c>
      <c r="I13" s="25" t="s">
        <v>389</v>
      </c>
      <c r="J13" s="26" t="s">
        <v>401</v>
      </c>
      <c r="K13" s="24"/>
      <c r="L13" s="25">
        <v>47144.263</v>
      </c>
      <c r="M13" s="25">
        <v>85017.87</v>
      </c>
      <c r="N13" s="25" t="s">
        <v>377</v>
      </c>
      <c r="O13" s="25">
        <v>97.8</v>
      </c>
      <c r="P13" s="24"/>
      <c r="Q13" s="24"/>
      <c r="R13" s="24"/>
      <c r="S13" s="25">
        <v>24151.37</v>
      </c>
      <c r="T13" s="24" t="s">
        <v>402</v>
      </c>
      <c r="U13" s="25">
        <v>7920.31</v>
      </c>
      <c r="V13" s="25">
        <v>165807.48</v>
      </c>
      <c r="W13" s="25">
        <v>24783.74</v>
      </c>
      <c r="X13" s="29">
        <f t="shared" si="0"/>
        <v>198511.53</v>
      </c>
      <c r="Y13" s="18">
        <f t="shared" si="1"/>
        <v>20.9344684740875</v>
      </c>
    </row>
    <row r="14" spans="1:25">
      <c r="A14" s="21">
        <v>13</v>
      </c>
      <c r="B14" s="21">
        <v>2016</v>
      </c>
      <c r="C14" s="21" t="s">
        <v>403</v>
      </c>
      <c r="D14" s="21"/>
      <c r="E14" s="21" t="s">
        <v>355</v>
      </c>
      <c r="F14" s="22">
        <v>219382.25</v>
      </c>
      <c r="G14" s="22" t="s">
        <v>356</v>
      </c>
      <c r="H14" s="21" t="s">
        <v>397</v>
      </c>
      <c r="I14" s="22" t="s">
        <v>389</v>
      </c>
      <c r="J14" s="21"/>
      <c r="K14" s="21" t="s">
        <v>404</v>
      </c>
      <c r="L14" s="22">
        <v>44619.36</v>
      </c>
      <c r="M14" s="22">
        <v>57986.82</v>
      </c>
      <c r="N14" s="22" t="s">
        <v>405</v>
      </c>
      <c r="O14" s="22">
        <v>179.81</v>
      </c>
      <c r="P14" s="21"/>
      <c r="Q14" s="21"/>
      <c r="R14" s="21"/>
      <c r="S14" s="21"/>
      <c r="T14" s="21"/>
      <c r="U14" s="22">
        <v>23456.4</v>
      </c>
      <c r="V14" s="22">
        <v>147072.78</v>
      </c>
      <c r="W14" s="22">
        <v>3216.59</v>
      </c>
      <c r="X14" s="28">
        <f t="shared" si="0"/>
        <v>173745.77</v>
      </c>
      <c r="Y14" s="19">
        <f t="shared" si="1"/>
        <v>6.27004911239576</v>
      </c>
    </row>
    <row r="15" spans="1:25">
      <c r="A15" s="21">
        <v>14</v>
      </c>
      <c r="B15" s="21">
        <v>2016</v>
      </c>
      <c r="C15" s="21" t="s">
        <v>406</v>
      </c>
      <c r="D15" s="22" t="s">
        <v>371</v>
      </c>
      <c r="E15" s="21" t="s">
        <v>355</v>
      </c>
      <c r="F15" s="22">
        <v>150188.97</v>
      </c>
      <c r="G15" s="22" t="s">
        <v>356</v>
      </c>
      <c r="H15" s="22"/>
      <c r="I15" s="22" t="s">
        <v>389</v>
      </c>
      <c r="J15" s="22"/>
      <c r="K15" s="22"/>
      <c r="L15" s="22">
        <v>17498.94</v>
      </c>
      <c r="M15" s="22">
        <v>36264.12</v>
      </c>
      <c r="N15" s="22" t="s">
        <v>405</v>
      </c>
      <c r="O15" s="21"/>
      <c r="P15" s="21"/>
      <c r="Q15" s="21"/>
      <c r="R15" s="21"/>
      <c r="S15" s="21"/>
      <c r="T15" s="21"/>
      <c r="U15" s="22">
        <v>9199.19</v>
      </c>
      <c r="V15" s="22">
        <v>91628.66</v>
      </c>
      <c r="W15" s="22">
        <v>9868.87</v>
      </c>
      <c r="X15" s="28">
        <f t="shared" si="0"/>
        <v>110696.72</v>
      </c>
      <c r="Y15" s="19">
        <f t="shared" si="1"/>
        <v>9.96051391481206</v>
      </c>
    </row>
    <row r="16" spans="1:25">
      <c r="A16" s="21">
        <v>15</v>
      </c>
      <c r="B16" s="21">
        <v>2014</v>
      </c>
      <c r="C16" s="21" t="s">
        <v>407</v>
      </c>
      <c r="D16" s="21"/>
      <c r="E16" s="21" t="s">
        <v>355</v>
      </c>
      <c r="F16" s="22">
        <v>177344</v>
      </c>
      <c r="G16" s="21"/>
      <c r="H16" s="21" t="s">
        <v>397</v>
      </c>
      <c r="I16" s="22" t="s">
        <v>389</v>
      </c>
      <c r="J16" s="23" t="s">
        <v>401</v>
      </c>
      <c r="K16" s="21" t="s">
        <v>404</v>
      </c>
      <c r="L16" s="22">
        <v>34180.252</v>
      </c>
      <c r="M16" s="22">
        <f>18438+39882</f>
        <v>58320</v>
      </c>
      <c r="N16" s="22" t="s">
        <v>377</v>
      </c>
      <c r="O16" s="21"/>
      <c r="P16" s="21"/>
      <c r="Q16" s="21"/>
      <c r="R16" s="21"/>
      <c r="S16" s="21">
        <v>181676.11</v>
      </c>
      <c r="T16" s="21" t="s">
        <v>408</v>
      </c>
      <c r="U16" s="21">
        <v>21804</v>
      </c>
      <c r="V16" s="21">
        <v>147876</v>
      </c>
      <c r="W16" s="21">
        <v>2289</v>
      </c>
      <c r="X16" s="21">
        <v>171968</v>
      </c>
      <c r="Y16" s="19">
        <f t="shared" si="1"/>
        <v>6.78205833791965</v>
      </c>
    </row>
    <row r="17" spans="1:25">
      <c r="A17" s="21">
        <v>16</v>
      </c>
      <c r="B17" s="21">
        <v>2014</v>
      </c>
      <c r="C17" s="21" t="s">
        <v>409</v>
      </c>
      <c r="D17" s="21"/>
      <c r="E17" s="21" t="s">
        <v>355</v>
      </c>
      <c r="F17" s="22">
        <v>996.4005</v>
      </c>
      <c r="G17" s="21" t="s">
        <v>410</v>
      </c>
      <c r="H17" s="21" t="s">
        <v>397</v>
      </c>
      <c r="I17" s="22" t="s">
        <v>389</v>
      </c>
      <c r="J17" s="23" t="s">
        <v>401</v>
      </c>
      <c r="K17" s="21" t="s">
        <v>404</v>
      </c>
      <c r="L17" s="22">
        <v>32921.04</v>
      </c>
      <c r="M17" s="21">
        <f>4500.33+43860.78</f>
        <v>48361.11</v>
      </c>
      <c r="N17" s="22" t="s">
        <v>377</v>
      </c>
      <c r="O17" s="21"/>
      <c r="P17" s="21"/>
      <c r="Q17" s="21"/>
      <c r="R17" s="21"/>
      <c r="S17" s="21">
        <v>253851</v>
      </c>
      <c r="T17" s="21" t="s">
        <v>408</v>
      </c>
      <c r="U17" s="21">
        <v>21000</v>
      </c>
      <c r="V17" s="21">
        <v>114535</v>
      </c>
      <c r="W17" s="21">
        <v>4798</v>
      </c>
      <c r="X17" s="21">
        <v>140333</v>
      </c>
      <c r="Y17" s="19">
        <f t="shared" si="1"/>
        <v>5.45404761904762</v>
      </c>
    </row>
    <row r="18" spans="1:25">
      <c r="A18" s="21">
        <v>17</v>
      </c>
      <c r="B18" s="21">
        <v>2014</v>
      </c>
      <c r="C18" s="21" t="s">
        <v>411</v>
      </c>
      <c r="D18" s="21"/>
      <c r="E18" s="21" t="s">
        <v>355</v>
      </c>
      <c r="F18" s="22" t="s">
        <v>412</v>
      </c>
      <c r="G18" s="21" t="s">
        <v>413</v>
      </c>
      <c r="H18" s="21" t="s">
        <v>397</v>
      </c>
      <c r="I18" s="22" t="s">
        <v>389</v>
      </c>
      <c r="J18" s="23" t="s">
        <v>401</v>
      </c>
      <c r="K18" s="21" t="s">
        <v>404</v>
      </c>
      <c r="L18" s="22">
        <v>161292</v>
      </c>
      <c r="M18" s="21">
        <f>79780.5+209607.35</f>
        <v>289387.85</v>
      </c>
      <c r="N18" s="22" t="s">
        <v>377</v>
      </c>
      <c r="O18" s="21"/>
      <c r="P18" s="21"/>
      <c r="Q18" s="21"/>
      <c r="R18" s="21"/>
      <c r="S18" s="21">
        <v>1337827</v>
      </c>
      <c r="T18" s="21" t="s">
        <v>408</v>
      </c>
      <c r="U18" s="21">
        <v>102888</v>
      </c>
      <c r="V18" s="21">
        <v>721370</v>
      </c>
      <c r="W18" s="21">
        <v>20201</v>
      </c>
      <c r="X18" s="21">
        <v>844459</v>
      </c>
      <c r="Y18" s="19">
        <f t="shared" si="1"/>
        <v>7.01121607962056</v>
      </c>
    </row>
    <row r="19" spans="1:25">
      <c r="A19" s="21">
        <v>18</v>
      </c>
      <c r="B19" s="21">
        <v>2014</v>
      </c>
      <c r="C19" s="21" t="s">
        <v>414</v>
      </c>
      <c r="D19" s="21"/>
      <c r="E19" s="21" t="s">
        <v>415</v>
      </c>
      <c r="F19" s="22">
        <v>230773</v>
      </c>
      <c r="G19" s="21" t="s">
        <v>413</v>
      </c>
      <c r="H19" s="21" t="s">
        <v>397</v>
      </c>
      <c r="I19" s="22" t="s">
        <v>389</v>
      </c>
      <c r="J19" s="23" t="s">
        <v>401</v>
      </c>
      <c r="K19" s="21" t="s">
        <v>404</v>
      </c>
      <c r="L19" s="22">
        <v>54453.6</v>
      </c>
      <c r="M19" s="21">
        <v>59171.6508</v>
      </c>
      <c r="N19" s="22" t="s">
        <v>377</v>
      </c>
      <c r="O19" s="21"/>
      <c r="P19" s="21"/>
      <c r="Q19" s="21"/>
      <c r="R19" s="21"/>
      <c r="S19" s="21">
        <v>251811</v>
      </c>
      <c r="T19" s="21" t="s">
        <v>408</v>
      </c>
      <c r="U19" s="21">
        <v>34736</v>
      </c>
      <c r="V19" s="21">
        <v>152608</v>
      </c>
      <c r="W19" s="21">
        <v>4759</v>
      </c>
      <c r="X19" s="21">
        <v>192103</v>
      </c>
      <c r="Y19" s="19">
        <f t="shared" si="1"/>
        <v>4.39336711192999</v>
      </c>
    </row>
    <row r="20" spans="1:25">
      <c r="A20" s="21">
        <v>19</v>
      </c>
      <c r="B20" s="21">
        <v>2014</v>
      </c>
      <c r="C20" s="27" t="s">
        <v>416</v>
      </c>
      <c r="D20" s="21"/>
      <c r="E20" s="21" t="s">
        <v>417</v>
      </c>
      <c r="F20" s="22">
        <v>1544660</v>
      </c>
      <c r="G20" s="21" t="s">
        <v>413</v>
      </c>
      <c r="H20" s="21" t="s">
        <v>397</v>
      </c>
      <c r="I20" s="22" t="s">
        <v>389</v>
      </c>
      <c r="J20" s="23" t="s">
        <v>401</v>
      </c>
      <c r="K20" s="21" t="s">
        <v>404</v>
      </c>
      <c r="L20" s="22">
        <v>208446.9</v>
      </c>
      <c r="M20" s="21">
        <f>46343.64+308746.94</f>
        <v>355090.58</v>
      </c>
      <c r="N20" s="22" t="s">
        <v>377</v>
      </c>
      <c r="O20" s="21"/>
      <c r="P20" s="21"/>
      <c r="Q20" s="21"/>
      <c r="R20" s="21"/>
      <c r="S20" s="21">
        <v>1660924.7705</v>
      </c>
      <c r="T20" s="21" t="s">
        <v>408</v>
      </c>
      <c r="U20" s="21">
        <v>132968</v>
      </c>
      <c r="V20" s="21">
        <v>883402</v>
      </c>
      <c r="W20" s="21">
        <v>31391</v>
      </c>
      <c r="X20" s="21">
        <v>1047762</v>
      </c>
      <c r="Y20" s="19">
        <f t="shared" si="1"/>
        <v>6.64371878948318</v>
      </c>
    </row>
    <row r="21" spans="1:25">
      <c r="A21" s="21">
        <v>20</v>
      </c>
      <c r="B21" s="21">
        <v>2013</v>
      </c>
      <c r="C21" s="27" t="s">
        <v>418</v>
      </c>
      <c r="D21" s="21"/>
      <c r="E21" s="21" t="s">
        <v>355</v>
      </c>
      <c r="F21" s="22">
        <v>163950.11</v>
      </c>
      <c r="G21" s="21" t="s">
        <v>413</v>
      </c>
      <c r="H21" s="21" t="s">
        <v>397</v>
      </c>
      <c r="I21" s="22" t="s">
        <v>389</v>
      </c>
      <c r="J21" s="23" t="s">
        <v>401</v>
      </c>
      <c r="K21" s="21" t="s">
        <v>404</v>
      </c>
      <c r="L21" s="22">
        <v>429382</v>
      </c>
      <c r="M21" s="21">
        <f>19560+39415.382</f>
        <v>58975.382</v>
      </c>
      <c r="N21" s="22" t="s">
        <v>377</v>
      </c>
      <c r="O21" s="21"/>
      <c r="P21" s="21"/>
      <c r="Q21" s="21"/>
      <c r="R21" s="21"/>
      <c r="S21" s="21">
        <v>182929.95</v>
      </c>
      <c r="T21" s="21" t="s">
        <v>408</v>
      </c>
      <c r="U21" s="21">
        <v>27390</v>
      </c>
      <c r="V21" s="21">
        <v>118150</v>
      </c>
      <c r="W21" s="21">
        <v>2268</v>
      </c>
      <c r="X21" s="21">
        <f>SUM(U21:W21)</f>
        <v>147808</v>
      </c>
      <c r="Y21" s="19">
        <f t="shared" si="1"/>
        <v>4.31361810879883</v>
      </c>
    </row>
    <row r="22" spans="1:25">
      <c r="A22" s="21">
        <v>21</v>
      </c>
      <c r="B22" s="21">
        <v>2014</v>
      </c>
      <c r="C22" s="27" t="s">
        <v>419</v>
      </c>
      <c r="D22" s="21"/>
      <c r="E22" s="21" t="s">
        <v>420</v>
      </c>
      <c r="F22" s="22">
        <v>155682.5</v>
      </c>
      <c r="G22" s="21" t="s">
        <v>413</v>
      </c>
      <c r="H22" s="21" t="s">
        <v>397</v>
      </c>
      <c r="I22" s="22" t="s">
        <v>389</v>
      </c>
      <c r="J22" s="23" t="s">
        <v>401</v>
      </c>
      <c r="K22" s="21" t="s">
        <v>404</v>
      </c>
      <c r="L22" s="22">
        <v>36178.5</v>
      </c>
      <c r="M22" s="21">
        <f>11681.63+26608.69</f>
        <v>38290.32</v>
      </c>
      <c r="N22" s="22" t="s">
        <v>377</v>
      </c>
      <c r="O22" s="21"/>
      <c r="P22" s="21"/>
      <c r="Q22" s="21"/>
      <c r="R22" s="21"/>
      <c r="S22" s="21">
        <v>23777.66</v>
      </c>
      <c r="T22" s="21" t="s">
        <v>408</v>
      </c>
      <c r="U22" s="21">
        <v>23078</v>
      </c>
      <c r="V22" s="21">
        <v>76710</v>
      </c>
      <c r="W22" s="21">
        <v>449</v>
      </c>
      <c r="X22" s="21">
        <v>100238</v>
      </c>
      <c r="Y22" s="19">
        <f t="shared" si="1"/>
        <v>3.32394488257215</v>
      </c>
    </row>
    <row r="23" spans="1:25">
      <c r="A23" s="21">
        <v>22</v>
      </c>
      <c r="B23" s="21">
        <v>2014</v>
      </c>
      <c r="C23" s="27" t="s">
        <v>421</v>
      </c>
      <c r="D23" s="21"/>
      <c r="E23" s="21" t="s">
        <v>422</v>
      </c>
      <c r="F23" s="21">
        <f>121767.055+126277.5</f>
        <v>248044.555</v>
      </c>
      <c r="G23" s="21" t="s">
        <v>413</v>
      </c>
      <c r="H23" s="21" t="s">
        <v>397</v>
      </c>
      <c r="I23" s="22" t="s">
        <v>389</v>
      </c>
      <c r="J23" s="23" t="s">
        <v>401</v>
      </c>
      <c r="K23" s="21" t="s">
        <v>404</v>
      </c>
      <c r="L23" s="22">
        <v>33204.12</v>
      </c>
      <c r="M23" s="21">
        <f>16823.22+33564.21</f>
        <v>50387.43</v>
      </c>
      <c r="N23" s="22" t="s">
        <v>377</v>
      </c>
      <c r="O23" s="21"/>
      <c r="P23" s="21"/>
      <c r="Q23" s="21"/>
      <c r="R23" s="21"/>
      <c r="S23" s="21">
        <v>250394.24</v>
      </c>
      <c r="T23" s="21" t="s">
        <v>408</v>
      </c>
      <c r="U23" s="21">
        <v>21181</v>
      </c>
      <c r="V23" s="21">
        <v>122276</v>
      </c>
      <c r="W23" s="21">
        <v>4732</v>
      </c>
      <c r="X23" s="21">
        <v>148189</v>
      </c>
      <c r="Y23" s="19">
        <f t="shared" si="1"/>
        <v>5.77290968320665</v>
      </c>
    </row>
    <row r="24" spans="1:25">
      <c r="A24" s="21">
        <v>23</v>
      </c>
      <c r="B24" s="21">
        <v>2014</v>
      </c>
      <c r="C24" s="27" t="s">
        <v>423</v>
      </c>
      <c r="D24" s="21"/>
      <c r="E24" s="21" t="s">
        <v>417</v>
      </c>
      <c r="F24" s="22">
        <v>96009.6283</v>
      </c>
      <c r="G24" s="21" t="s">
        <v>413</v>
      </c>
      <c r="H24" s="21" t="s">
        <v>397</v>
      </c>
      <c r="I24" s="22" t="s">
        <v>389</v>
      </c>
      <c r="J24" s="23" t="s">
        <v>401</v>
      </c>
      <c r="K24" s="21" t="s">
        <v>404</v>
      </c>
      <c r="L24" s="22">
        <v>20730.2</v>
      </c>
      <c r="M24" s="21">
        <f>35688.54+7008.7029</f>
        <v>42697.2429</v>
      </c>
      <c r="N24" s="22" t="s">
        <v>377</v>
      </c>
      <c r="O24" s="21">
        <v>160.15</v>
      </c>
      <c r="P24" s="21"/>
      <c r="Q24" s="21"/>
      <c r="R24" s="21"/>
      <c r="S24" s="21">
        <v>11521.1554</v>
      </c>
      <c r="T24" s="21" t="s">
        <v>408</v>
      </c>
      <c r="U24" s="21">
        <v>13224</v>
      </c>
      <c r="V24" s="21">
        <v>86045</v>
      </c>
      <c r="W24" s="21">
        <v>1724</v>
      </c>
      <c r="X24" s="21">
        <v>100993</v>
      </c>
      <c r="Y24" s="19">
        <f t="shared" si="1"/>
        <v>6.50673018753781</v>
      </c>
    </row>
    <row r="25" spans="1:25">
      <c r="A25" s="21">
        <v>24</v>
      </c>
      <c r="B25" s="21">
        <v>2014</v>
      </c>
      <c r="C25" s="27" t="s">
        <v>424</v>
      </c>
      <c r="D25" s="21"/>
      <c r="E25" s="21" t="s">
        <v>417</v>
      </c>
      <c r="F25" s="22">
        <v>722216.59</v>
      </c>
      <c r="G25" s="21" t="s">
        <v>413</v>
      </c>
      <c r="H25" s="21" t="s">
        <v>397</v>
      </c>
      <c r="I25" s="22" t="s">
        <v>389</v>
      </c>
      <c r="J25" s="23" t="s">
        <v>401</v>
      </c>
      <c r="K25" s="21" t="s">
        <v>404</v>
      </c>
      <c r="L25" s="22">
        <v>90311.04</v>
      </c>
      <c r="M25" s="21">
        <f>118038.398+44755</f>
        <v>162793.398</v>
      </c>
      <c r="N25" s="22" t="s">
        <v>377</v>
      </c>
      <c r="O25" s="21">
        <v>456.77</v>
      </c>
      <c r="P25" s="21"/>
      <c r="Q25" s="21"/>
      <c r="R25" s="21"/>
      <c r="S25" s="21">
        <v>901576.1985</v>
      </c>
      <c r="T25" s="21" t="s">
        <v>408</v>
      </c>
      <c r="U25" s="21">
        <v>57609</v>
      </c>
      <c r="V25" s="21">
        <v>392763</v>
      </c>
      <c r="W25" s="21">
        <v>17040</v>
      </c>
      <c r="X25" s="21">
        <v>467412</v>
      </c>
      <c r="Y25" s="19">
        <f t="shared" si="1"/>
        <v>6.81773681195646</v>
      </c>
    </row>
    <row r="26" spans="1:25">
      <c r="A26" s="21">
        <v>25</v>
      </c>
      <c r="B26" s="21">
        <v>2014</v>
      </c>
      <c r="C26" s="27" t="s">
        <v>425</v>
      </c>
      <c r="D26" s="21"/>
      <c r="E26" s="21" t="s">
        <v>420</v>
      </c>
      <c r="F26" s="22">
        <v>1066.4154</v>
      </c>
      <c r="G26" s="21" t="s">
        <v>410</v>
      </c>
      <c r="H26" s="21" t="s">
        <v>397</v>
      </c>
      <c r="I26" s="22" t="s">
        <v>389</v>
      </c>
      <c r="J26" s="23" t="s">
        <v>401</v>
      </c>
      <c r="K26" s="21" t="s">
        <v>404</v>
      </c>
      <c r="L26" s="22">
        <v>77311.48</v>
      </c>
      <c r="M26" s="21">
        <f>66396.98+11777.93</f>
        <v>78174.91</v>
      </c>
      <c r="N26" s="22" t="s">
        <v>377</v>
      </c>
      <c r="O26" s="21">
        <v>1696.667</v>
      </c>
      <c r="P26" s="21"/>
      <c r="Q26" s="21"/>
      <c r="R26" s="21"/>
      <c r="S26" s="21">
        <v>274787.1161</v>
      </c>
      <c r="T26" s="21" t="s">
        <v>408</v>
      </c>
      <c r="U26" s="21">
        <v>49317</v>
      </c>
      <c r="V26" s="21">
        <v>168755</v>
      </c>
      <c r="W26" s="21">
        <v>5193</v>
      </c>
      <c r="X26" s="21">
        <v>223265</v>
      </c>
      <c r="Y26" s="19">
        <f t="shared" si="1"/>
        <v>3.42184236672953</v>
      </c>
    </row>
    <row r="27" spans="1:25">
      <c r="A27" s="21">
        <v>26</v>
      </c>
      <c r="B27" s="21">
        <v>2014</v>
      </c>
      <c r="C27" s="27" t="s">
        <v>426</v>
      </c>
      <c r="D27" s="21"/>
      <c r="E27" s="21" t="s">
        <v>417</v>
      </c>
      <c r="F27" s="22">
        <v>257115</v>
      </c>
      <c r="G27" s="21" t="s">
        <v>413</v>
      </c>
      <c r="H27" s="21" t="s">
        <v>397</v>
      </c>
      <c r="I27" s="22" t="s">
        <v>389</v>
      </c>
      <c r="J27" s="23" t="s">
        <v>401</v>
      </c>
      <c r="K27" s="21" t="s">
        <v>404</v>
      </c>
      <c r="L27" s="22">
        <v>60830.52</v>
      </c>
      <c r="M27" s="21">
        <v>24666.91</v>
      </c>
      <c r="N27" s="22" t="s">
        <v>377</v>
      </c>
      <c r="O27" s="21">
        <v>281</v>
      </c>
      <c r="P27" s="21">
        <v>2349.69</v>
      </c>
      <c r="Q27" s="21" t="s">
        <v>427</v>
      </c>
      <c r="R27" s="21"/>
      <c r="S27" s="21">
        <f>156494+139188</f>
        <v>295682</v>
      </c>
      <c r="T27" s="21" t="s">
        <v>408</v>
      </c>
      <c r="U27" s="21">
        <v>32063.7671</v>
      </c>
      <c r="V27" s="21">
        <v>103415.7287</v>
      </c>
      <c r="W27" s="21">
        <v>4951.9882</v>
      </c>
      <c r="X27" s="21">
        <v>140431.484</v>
      </c>
      <c r="Y27" s="19">
        <f t="shared" si="1"/>
        <v>3.22531436738137</v>
      </c>
    </row>
    <row r="28" spans="1:25">
      <c r="A28" s="21">
        <v>27</v>
      </c>
      <c r="B28" s="21">
        <v>2011</v>
      </c>
      <c r="C28" s="27" t="s">
        <v>428</v>
      </c>
      <c r="D28" s="21"/>
      <c r="E28" s="21" t="s">
        <v>429</v>
      </c>
      <c r="F28" s="22">
        <v>5456.7</v>
      </c>
      <c r="G28" s="21" t="s">
        <v>413</v>
      </c>
      <c r="H28" s="21"/>
      <c r="I28" s="22" t="s">
        <v>389</v>
      </c>
      <c r="J28" s="23" t="s">
        <v>401</v>
      </c>
      <c r="K28" s="21" t="s">
        <v>404</v>
      </c>
      <c r="L28" s="22">
        <v>4448.3</v>
      </c>
      <c r="M28" s="21">
        <v>3002.36</v>
      </c>
      <c r="N28" s="22" t="s">
        <v>430</v>
      </c>
      <c r="O28" s="21"/>
      <c r="P28" s="21">
        <v>25.36</v>
      </c>
      <c r="Q28" s="21" t="s">
        <v>427</v>
      </c>
      <c r="R28" s="21"/>
      <c r="S28" s="21"/>
      <c r="T28" s="21"/>
      <c r="U28" s="21">
        <f>L28*0.6379</f>
        <v>2837.57057</v>
      </c>
      <c r="V28" s="21">
        <f>M28*50179*63.07/1000000+P28*389310*56.1/1000000</f>
        <v>10055.7072730508</v>
      </c>
      <c r="W28" s="21"/>
      <c r="X28" s="21">
        <f>SUM(U28:W28)</f>
        <v>12893.2778430508</v>
      </c>
      <c r="Y28" s="19">
        <f t="shared" si="1"/>
        <v>3.54377345866355</v>
      </c>
    </row>
    <row r="29" spans="1:25">
      <c r="A29" s="21">
        <v>28</v>
      </c>
      <c r="B29" s="21">
        <v>2011</v>
      </c>
      <c r="C29" s="27" t="s">
        <v>431</v>
      </c>
      <c r="D29" s="21"/>
      <c r="E29" s="21" t="s">
        <v>432</v>
      </c>
      <c r="F29" s="22">
        <v>19000</v>
      </c>
      <c r="G29" s="21" t="s">
        <v>413</v>
      </c>
      <c r="H29" s="21" t="s">
        <v>397</v>
      </c>
      <c r="I29" s="21"/>
      <c r="J29" s="23" t="s">
        <v>401</v>
      </c>
      <c r="K29" s="21" t="s">
        <v>404</v>
      </c>
      <c r="L29" s="22">
        <v>2820</v>
      </c>
      <c r="M29" s="21"/>
      <c r="N29" s="21"/>
      <c r="O29" s="21">
        <v>10</v>
      </c>
      <c r="P29" s="21">
        <v>545</v>
      </c>
      <c r="Q29" s="21" t="s">
        <v>427</v>
      </c>
      <c r="R29" s="21"/>
      <c r="S29" s="21"/>
      <c r="T29" s="21"/>
      <c r="U29" s="21">
        <f>L29*0.6379</f>
        <v>1798.878</v>
      </c>
      <c r="V29" s="21">
        <f>M29*50179*63.07/1000000+P29*389310*56.1/1000000+O29*42652*74.04/1000000</f>
        <v>11934.5381358</v>
      </c>
      <c r="W29" s="21"/>
      <c r="X29" s="21">
        <f>SUM(U29:W29)</f>
        <v>13733.4161358</v>
      </c>
      <c r="Y29" s="19">
        <f t="shared" si="1"/>
        <v>6.63443442846041</v>
      </c>
    </row>
    <row r="30" spans="1:25">
      <c r="A30" s="21">
        <v>29</v>
      </c>
      <c r="B30" s="21">
        <v>2011</v>
      </c>
      <c r="C30" s="27" t="s">
        <v>433</v>
      </c>
      <c r="D30" s="21"/>
      <c r="E30" s="21" t="s">
        <v>355</v>
      </c>
      <c r="F30" s="22">
        <v>27500</v>
      </c>
      <c r="G30" s="21" t="s">
        <v>413</v>
      </c>
      <c r="H30" s="21" t="s">
        <v>397</v>
      </c>
      <c r="I30" s="21"/>
      <c r="J30" s="23" t="s">
        <v>401</v>
      </c>
      <c r="K30" s="21" t="s">
        <v>404</v>
      </c>
      <c r="L30" s="22">
        <v>8100</v>
      </c>
      <c r="M30" s="21"/>
      <c r="N30" s="21"/>
      <c r="O30" s="21">
        <v>20</v>
      </c>
      <c r="P30" s="21">
        <v>5073</v>
      </c>
      <c r="Q30" s="21" t="s">
        <v>427</v>
      </c>
      <c r="R30" s="21"/>
      <c r="S30" s="21"/>
      <c r="T30" s="21"/>
      <c r="U30" s="21">
        <f>L30*0.6379</f>
        <v>5166.99</v>
      </c>
      <c r="V30" s="21">
        <f>M30*50179*63.07/1000000+P30*389310*56.1/1000000+O30*42652*74.04/1000000</f>
        <v>110858.9553246</v>
      </c>
      <c r="W30" s="21"/>
      <c r="X30" s="21">
        <f>SUM(U30:W30)</f>
        <v>116025.9453246</v>
      </c>
      <c r="Y30" s="19">
        <f t="shared" si="1"/>
        <v>21.455229316217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72"/>
  <sheetViews>
    <sheetView tabSelected="1" topLeftCell="BU1" workbookViewId="0">
      <selection activeCell="I29" sqref="I29"/>
    </sheetView>
  </sheetViews>
  <sheetFormatPr defaultColWidth="9" defaultRowHeight="14"/>
  <cols>
    <col min="1" max="1" width="8.88333333333333" style="2"/>
    <col min="2" max="2" width="36.4416666666667" style="2" customWidth="1"/>
    <col min="3" max="3" width="8.88333333333333" style="2"/>
    <col min="4" max="5" width="13.775" style="2" customWidth="1"/>
    <col min="6" max="8" width="15.4416666666667" style="2" customWidth="1"/>
    <col min="9" max="9" width="12.1083333333333" style="2" customWidth="1"/>
    <col min="10" max="11" width="12.5583333333333" style="2" customWidth="1"/>
    <col min="12" max="12" width="16.775" style="2" customWidth="1"/>
    <col min="13" max="13" width="12.5583333333333" style="2" customWidth="1"/>
    <col min="14" max="14" width="15.5583333333333" style="2" customWidth="1"/>
    <col min="15" max="17" width="12.5583333333333" style="2" customWidth="1"/>
    <col min="18" max="18" width="14.5583333333333" style="2" customWidth="1"/>
    <col min="19" max="20" width="12" style="2" customWidth="1"/>
    <col min="21" max="34" width="12.775" style="2" customWidth="1"/>
    <col min="35" max="35" width="13.6666666666667" style="2" customWidth="1"/>
    <col min="36" max="44" width="12.775" style="2" customWidth="1"/>
    <col min="45" max="46" width="12.6666666666667" style="2" customWidth="1"/>
    <col min="47" max="47" width="14.1083333333333" style="2" customWidth="1"/>
    <col min="48" max="48" width="11.2166666666667" style="2" customWidth="1"/>
    <col min="49" max="49" width="11.6666666666667" style="2" customWidth="1"/>
    <col min="50" max="50" width="11" style="2" customWidth="1"/>
    <col min="51" max="51" width="10.775" style="2" customWidth="1"/>
    <col min="52" max="54" width="12.5583333333333" style="2" customWidth="1"/>
    <col min="55" max="56" width="11" style="2" customWidth="1"/>
    <col min="57" max="58" width="8.88333333333333" style="2"/>
    <col min="59" max="59" width="10.775" style="2" customWidth="1"/>
    <col min="60" max="60" width="11" style="2" customWidth="1"/>
    <col min="61" max="61" width="11.4416666666667" style="2" customWidth="1"/>
    <col min="62" max="64" width="11" style="2" customWidth="1"/>
    <col min="65" max="69" width="12.6666666666667" style="2" customWidth="1"/>
    <col min="70" max="70" width="11" style="2" customWidth="1"/>
    <col min="71" max="71" width="12.775" style="2" customWidth="1"/>
    <col min="72" max="75" width="11" style="2" customWidth="1"/>
    <col min="76" max="76" width="11.2166666666667" style="2" customWidth="1"/>
    <col min="77" max="77" width="11.1083333333333" style="2" customWidth="1"/>
    <col min="78" max="78" width="13.3333333333333" style="2" customWidth="1"/>
    <col min="79" max="79" width="14.5583333333333" style="2" customWidth="1"/>
    <col min="80" max="80" width="12.2166666666667" style="2" customWidth="1"/>
    <col min="81" max="81" width="10.6666666666667" style="2" customWidth="1"/>
    <col min="82" max="83" width="11.6666666666667" style="2" customWidth="1"/>
    <col min="84" max="84" width="11" style="2" customWidth="1"/>
    <col min="85" max="85" width="8.88333333333333" style="2"/>
    <col min="86" max="87" width="10.4416666666667" style="2" customWidth="1"/>
    <col min="88" max="88" width="13" style="2" customWidth="1"/>
    <col min="89" max="90" width="11" style="2" customWidth="1"/>
    <col min="91" max="16384" width="8.88333333333333" style="2"/>
  </cols>
  <sheetData>
    <row r="1" ht="42" customHeight="1" spans="1:90">
      <c r="A1" s="3" t="s">
        <v>282</v>
      </c>
      <c r="B1" s="3" t="s">
        <v>434</v>
      </c>
      <c r="C1" s="3" t="s">
        <v>283</v>
      </c>
      <c r="D1" s="4" t="s">
        <v>435</v>
      </c>
      <c r="E1" s="4" t="s">
        <v>436</v>
      </c>
      <c r="F1" s="4" t="s">
        <v>437</v>
      </c>
      <c r="G1" s="4" t="s">
        <v>438</v>
      </c>
      <c r="H1" s="4" t="s">
        <v>439</v>
      </c>
      <c r="I1" s="4" t="s">
        <v>440</v>
      </c>
      <c r="J1" s="4" t="s">
        <v>441</v>
      </c>
      <c r="K1" s="4" t="s">
        <v>442</v>
      </c>
      <c r="L1" s="4" t="s">
        <v>443</v>
      </c>
      <c r="M1" s="4" t="s">
        <v>444</v>
      </c>
      <c r="N1" s="4" t="s">
        <v>445</v>
      </c>
      <c r="O1" s="4" t="s">
        <v>446</v>
      </c>
      <c r="P1" s="4" t="s">
        <v>447</v>
      </c>
      <c r="Q1" s="4" t="s">
        <v>448</v>
      </c>
      <c r="R1" s="4" t="s">
        <v>295</v>
      </c>
      <c r="S1" s="4" t="s">
        <v>294</v>
      </c>
      <c r="T1" s="4" t="s">
        <v>449</v>
      </c>
      <c r="U1" s="4" t="s">
        <v>450</v>
      </c>
      <c r="V1" s="4" t="s">
        <v>451</v>
      </c>
      <c r="W1" s="4" t="s">
        <v>452</v>
      </c>
      <c r="X1" s="4" t="s">
        <v>453</v>
      </c>
      <c r="Y1" s="4" t="s">
        <v>454</v>
      </c>
      <c r="Z1" s="4" t="s">
        <v>455</v>
      </c>
      <c r="AA1" s="4" t="s">
        <v>456</v>
      </c>
      <c r="AB1" s="4" t="s">
        <v>457</v>
      </c>
      <c r="AC1" s="4" t="s">
        <v>458</v>
      </c>
      <c r="AD1" s="4" t="s">
        <v>459</v>
      </c>
      <c r="AE1" s="4" t="s">
        <v>460</v>
      </c>
      <c r="AF1" s="4" t="s">
        <v>461</v>
      </c>
      <c r="AG1" s="4" t="s">
        <v>462</v>
      </c>
      <c r="AH1" s="4" t="s">
        <v>463</v>
      </c>
      <c r="AI1" s="4" t="s">
        <v>464</v>
      </c>
      <c r="AJ1" s="4" t="s">
        <v>465</v>
      </c>
      <c r="AK1" s="4" t="s">
        <v>466</v>
      </c>
      <c r="AL1" s="4" t="s">
        <v>467</v>
      </c>
      <c r="AM1" s="4" t="s">
        <v>468</v>
      </c>
      <c r="AN1" s="4" t="s">
        <v>469</v>
      </c>
      <c r="AO1" s="4" t="s">
        <v>470</v>
      </c>
      <c r="AP1" s="4" t="s">
        <v>471</v>
      </c>
      <c r="AQ1" s="4" t="s">
        <v>472</v>
      </c>
      <c r="AR1" s="4" t="s">
        <v>473</v>
      </c>
      <c r="AS1" s="3" t="s">
        <v>287</v>
      </c>
      <c r="AT1" s="4" t="s">
        <v>298</v>
      </c>
      <c r="AU1" s="5" t="s">
        <v>474</v>
      </c>
      <c r="AV1" s="4" t="s">
        <v>475</v>
      </c>
      <c r="AW1" s="4" t="s">
        <v>476</v>
      </c>
      <c r="AX1" s="14" t="s">
        <v>477</v>
      </c>
      <c r="AY1" s="14" t="s">
        <v>478</v>
      </c>
      <c r="AZ1" s="5" t="s">
        <v>479</v>
      </c>
      <c r="BA1" s="4" t="s">
        <v>480</v>
      </c>
      <c r="BB1" s="4" t="s">
        <v>481</v>
      </c>
      <c r="BC1" s="4" t="s">
        <v>482</v>
      </c>
      <c r="BD1" s="4" t="s">
        <v>483</v>
      </c>
      <c r="BE1" s="4" t="s">
        <v>484</v>
      </c>
      <c r="BF1" s="4" t="s">
        <v>485</v>
      </c>
      <c r="BG1" s="4" t="s">
        <v>486</v>
      </c>
      <c r="BH1" s="4" t="s">
        <v>487</v>
      </c>
      <c r="BI1" s="4" t="s">
        <v>488</v>
      </c>
      <c r="BJ1" s="4" t="s">
        <v>487</v>
      </c>
      <c r="BK1" s="4" t="s">
        <v>489</v>
      </c>
      <c r="BL1" s="4" t="s">
        <v>487</v>
      </c>
      <c r="BM1" s="4" t="s">
        <v>490</v>
      </c>
      <c r="BN1" s="4" t="s">
        <v>491</v>
      </c>
      <c r="BO1" s="4" t="s">
        <v>492</v>
      </c>
      <c r="BP1" s="4" t="s">
        <v>493</v>
      </c>
      <c r="BQ1" s="4" t="s">
        <v>494</v>
      </c>
      <c r="BR1" s="4" t="s">
        <v>495</v>
      </c>
      <c r="BS1" s="4" t="s">
        <v>496</v>
      </c>
      <c r="BT1" s="4" t="s">
        <v>497</v>
      </c>
      <c r="BU1" s="4" t="s">
        <v>498</v>
      </c>
      <c r="BV1" s="4" t="s">
        <v>499</v>
      </c>
      <c r="BW1" s="4" t="s">
        <v>500</v>
      </c>
      <c r="BX1" s="7" t="s">
        <v>501</v>
      </c>
      <c r="BY1" s="15" t="s">
        <v>479</v>
      </c>
      <c r="BZ1" s="16" t="s">
        <v>475</v>
      </c>
      <c r="CA1" s="15" t="s">
        <v>502</v>
      </c>
      <c r="CB1" s="15" t="s">
        <v>503</v>
      </c>
      <c r="CC1" s="15" t="s">
        <v>504</v>
      </c>
      <c r="CD1" s="15" t="s">
        <v>505</v>
      </c>
      <c r="CE1" s="15" t="s">
        <v>506</v>
      </c>
      <c r="CF1" s="15" t="s">
        <v>507</v>
      </c>
      <c r="CG1" s="15" t="s">
        <v>508</v>
      </c>
      <c r="CH1" s="15" t="s">
        <v>509</v>
      </c>
      <c r="CI1" s="15" t="s">
        <v>510</v>
      </c>
      <c r="CJ1" s="15" t="s">
        <v>511</v>
      </c>
      <c r="CK1" s="4" t="s">
        <v>512</v>
      </c>
      <c r="CL1" s="4" t="s">
        <v>487</v>
      </c>
    </row>
    <row r="2" spans="1:88">
      <c r="A2" s="2">
        <v>1</v>
      </c>
      <c r="B2" s="2" t="s">
        <v>513</v>
      </c>
      <c r="C2" s="2">
        <v>2016</v>
      </c>
      <c r="D2" s="2">
        <v>8793122</v>
      </c>
      <c r="E2" s="2">
        <v>1583870</v>
      </c>
      <c r="F2" s="2">
        <v>2216766</v>
      </c>
      <c r="J2" s="2">
        <v>140221</v>
      </c>
      <c r="L2" s="2">
        <v>223417</v>
      </c>
      <c r="N2" s="2">
        <v>766504</v>
      </c>
      <c r="R2" s="2">
        <v>1709</v>
      </c>
      <c r="U2" s="2">
        <v>6017.2</v>
      </c>
      <c r="AF2" s="2">
        <v>1322648</v>
      </c>
      <c r="AP2" s="2">
        <v>1481731</v>
      </c>
      <c r="AQ2" s="6">
        <v>3136816.45</v>
      </c>
      <c r="AR2" s="6"/>
      <c r="AS2" s="6">
        <v>5209023.063</v>
      </c>
      <c r="AT2" s="6">
        <v>-481013</v>
      </c>
      <c r="AU2" s="2">
        <v>2738383.42</v>
      </c>
      <c r="AV2" s="2">
        <v>26464369.43</v>
      </c>
      <c r="AW2" s="2">
        <v>2097835.47</v>
      </c>
      <c r="AX2" s="2">
        <v>-52911.43</v>
      </c>
      <c r="AY2" s="2">
        <v>-1806845.88</v>
      </c>
      <c r="AZ2" s="2">
        <v>29440831</v>
      </c>
      <c r="BE2" s="2">
        <v>65770</v>
      </c>
      <c r="BF2" s="2">
        <v>262002</v>
      </c>
      <c r="BG2" s="2">
        <v>1497</v>
      </c>
      <c r="BI2" s="2">
        <v>1385</v>
      </c>
      <c r="BY2" s="6">
        <v>26341371</v>
      </c>
      <c r="BZ2" s="6">
        <v>23216257.72</v>
      </c>
      <c r="CA2" s="6">
        <v>3125113.54</v>
      </c>
      <c r="CB2" s="6">
        <v>3192456.83</v>
      </c>
      <c r="CC2" s="6">
        <v>2774777.3</v>
      </c>
      <c r="CD2" s="6">
        <v>6424515.31</v>
      </c>
      <c r="CE2" s="6">
        <v>-1586041.82</v>
      </c>
      <c r="CF2" s="6">
        <v>3764713.19</v>
      </c>
      <c r="CG2" s="6"/>
      <c r="CH2" s="6"/>
      <c r="CI2" s="6"/>
      <c r="CJ2" s="6">
        <v>10315280.19</v>
      </c>
    </row>
    <row r="3" spans="3:88">
      <c r="C3" s="2">
        <v>2017</v>
      </c>
      <c r="D3" s="6">
        <v>8608434</v>
      </c>
      <c r="E3" s="6">
        <v>2478429</v>
      </c>
      <c r="F3" s="6">
        <v>1618924</v>
      </c>
      <c r="L3" s="6">
        <v>527850</v>
      </c>
      <c r="N3" s="6">
        <v>663974</v>
      </c>
      <c r="P3" s="6">
        <v>92468</v>
      </c>
      <c r="R3" s="6">
        <v>1883.23</v>
      </c>
      <c r="U3" s="2">
        <v>5444</v>
      </c>
      <c r="AF3" s="6">
        <v>1651158</v>
      </c>
      <c r="AP3" s="6">
        <v>1765111</v>
      </c>
      <c r="AQ3" s="6">
        <v>2893627.9</v>
      </c>
      <c r="AR3" s="6"/>
      <c r="AS3" s="2">
        <v>526445.49</v>
      </c>
      <c r="AT3" s="2">
        <v>-221805</v>
      </c>
      <c r="AU3" s="6">
        <v>2790581.14</v>
      </c>
      <c r="AV3" s="6">
        <v>26690697.43</v>
      </c>
      <c r="AW3" s="6">
        <v>2129360.21</v>
      </c>
      <c r="AX3" s="6">
        <v>-19597.93</v>
      </c>
      <c r="AY3" s="6">
        <v>-1375088.79</v>
      </c>
      <c r="AZ3" s="6">
        <v>30215952</v>
      </c>
      <c r="BA3" s="6"/>
      <c r="BE3" s="2">
        <v>65129</v>
      </c>
      <c r="BF3" s="2">
        <v>255478</v>
      </c>
      <c r="BG3" s="6">
        <v>1599.9138</v>
      </c>
      <c r="BH3" s="6">
        <v>1.8886</v>
      </c>
      <c r="BI3" s="2">
        <v>1477.3277</v>
      </c>
      <c r="BY3" s="2">
        <v>25440127</v>
      </c>
      <c r="BZ3" s="6">
        <v>25143340.94</v>
      </c>
      <c r="CA3" s="6">
        <v>296785.8434</v>
      </c>
      <c r="CB3" s="6">
        <v>21472434.41</v>
      </c>
      <c r="CC3" s="6">
        <v>1314944.75</v>
      </c>
      <c r="CD3" s="6">
        <v>-8882261.95</v>
      </c>
      <c r="CE3" s="6">
        <v>-1904930.76</v>
      </c>
      <c r="CF3" s="6">
        <v>2772623.35</v>
      </c>
      <c r="CG3" s="6"/>
      <c r="CH3" s="6"/>
      <c r="CI3" s="6"/>
      <c r="CJ3" s="6">
        <v>10023084.6</v>
      </c>
    </row>
    <row r="4" ht="15" customHeight="1" spans="1:88">
      <c r="A4" s="2">
        <v>2</v>
      </c>
      <c r="B4" s="2" t="s">
        <v>514</v>
      </c>
      <c r="C4" s="2">
        <v>2016</v>
      </c>
      <c r="F4" s="2">
        <v>7927.5</v>
      </c>
      <c r="U4" s="2">
        <v>58.06</v>
      </c>
      <c r="AF4" s="2">
        <v>349915.05</v>
      </c>
      <c r="AR4" s="2">
        <v>1562.27</v>
      </c>
      <c r="AS4" s="2">
        <v>230156.56</v>
      </c>
      <c r="AU4" s="2">
        <v>120993.3</v>
      </c>
      <c r="AV4" s="2">
        <v>14029.82</v>
      </c>
      <c r="AW4" s="2">
        <v>57055.13</v>
      </c>
      <c r="AY4" s="2">
        <v>5098.79</v>
      </c>
      <c r="AZ4" s="2">
        <v>186979</v>
      </c>
      <c r="BG4" s="2">
        <v>33.7551</v>
      </c>
      <c r="BH4" s="2">
        <v>0.46</v>
      </c>
      <c r="BI4" s="2">
        <v>33.109</v>
      </c>
      <c r="BJ4" s="2">
        <v>0.47</v>
      </c>
      <c r="BY4" s="2">
        <v>154448</v>
      </c>
      <c r="BZ4" s="2">
        <v>14029.82</v>
      </c>
      <c r="CA4" s="2">
        <v>140418.52</v>
      </c>
      <c r="CE4" s="6">
        <v>120562.37</v>
      </c>
      <c r="CF4" s="2">
        <v>27547.91</v>
      </c>
      <c r="CJ4" s="2">
        <v>6338.05</v>
      </c>
    </row>
    <row r="5" ht="15" customHeight="1" spans="1:83">
      <c r="A5" s="2">
        <v>3</v>
      </c>
      <c r="B5" s="2" t="s">
        <v>515</v>
      </c>
      <c r="C5" s="2">
        <v>2012</v>
      </c>
      <c r="F5" s="9">
        <v>70929.6</v>
      </c>
      <c r="T5" s="2">
        <v>32.4</v>
      </c>
      <c r="U5" s="2">
        <v>28.2</v>
      </c>
      <c r="AF5" s="9">
        <v>1167483.2</v>
      </c>
      <c r="AK5" s="9">
        <v>8980.6</v>
      </c>
      <c r="AM5" s="9">
        <v>7858.1</v>
      </c>
      <c r="AR5" s="9">
        <v>5051.6</v>
      </c>
      <c r="AS5" s="8">
        <v>551771.2</v>
      </c>
      <c r="AU5" s="2">
        <v>548681.3</v>
      </c>
      <c r="AZ5" s="2">
        <v>893700</v>
      </c>
      <c r="BP5" s="2">
        <v>1236712</v>
      </c>
      <c r="CE5" s="6"/>
    </row>
    <row r="6" ht="15" customHeight="1" spans="3:83">
      <c r="C6" s="2">
        <v>2013</v>
      </c>
      <c r="F6" s="9">
        <v>69717.9</v>
      </c>
      <c r="T6" s="2">
        <v>47.6</v>
      </c>
      <c r="U6" s="2">
        <v>37.9</v>
      </c>
      <c r="AF6" s="9">
        <v>1312677.6</v>
      </c>
      <c r="AK6" s="9">
        <v>10097.5</v>
      </c>
      <c r="AM6" s="9">
        <v>8835.3</v>
      </c>
      <c r="AR6" s="9">
        <v>5679.9</v>
      </c>
      <c r="AS6" s="9">
        <v>605403.6</v>
      </c>
      <c r="AU6" s="8">
        <v>592024.2</v>
      </c>
      <c r="AZ6" s="10">
        <v>957890</v>
      </c>
      <c r="BA6" s="10"/>
      <c r="BP6" s="9">
        <v>1203592</v>
      </c>
      <c r="CE6" s="6"/>
    </row>
    <row r="7" ht="15" customHeight="1" spans="3:83">
      <c r="C7" s="2">
        <v>2014</v>
      </c>
      <c r="F7" s="9">
        <v>52310.2</v>
      </c>
      <c r="T7" s="2">
        <v>31.1</v>
      </c>
      <c r="U7" s="2">
        <v>32.6</v>
      </c>
      <c r="AF7" s="9">
        <v>1348328.8</v>
      </c>
      <c r="AK7" s="9">
        <v>1371.8</v>
      </c>
      <c r="AM7" s="9">
        <v>9075.3</v>
      </c>
      <c r="AR7" s="9">
        <v>5834.1</v>
      </c>
      <c r="AS7" s="9">
        <v>624452.8</v>
      </c>
      <c r="AU7" s="8">
        <v>607217.9</v>
      </c>
      <c r="AZ7" s="10">
        <v>907466</v>
      </c>
      <c r="BA7" s="10"/>
      <c r="BP7" s="9">
        <v>1236712</v>
      </c>
      <c r="CE7" s="6"/>
    </row>
    <row r="8" spans="3:88">
      <c r="C8" s="2">
        <v>2016</v>
      </c>
      <c r="F8" s="2">
        <v>11630.88</v>
      </c>
      <c r="U8" s="2">
        <v>36.55</v>
      </c>
      <c r="AF8" s="6">
        <v>1450742.34</v>
      </c>
      <c r="AG8" s="6"/>
      <c r="AH8" s="6"/>
      <c r="AI8" s="6"/>
      <c r="AJ8" s="6">
        <v>25652.7</v>
      </c>
      <c r="AK8" s="6">
        <v>9745.43</v>
      </c>
      <c r="AL8" s="6"/>
      <c r="AM8" s="6">
        <v>8496.94</v>
      </c>
      <c r="AN8" s="6"/>
      <c r="AO8" s="6"/>
      <c r="AR8" s="2">
        <v>5478.88</v>
      </c>
      <c r="AS8" s="2">
        <v>620229.7</v>
      </c>
      <c r="AU8" s="2">
        <v>326054.75</v>
      </c>
      <c r="AV8" s="2">
        <v>20433.33</v>
      </c>
      <c r="AW8" s="2">
        <v>317028.19</v>
      </c>
      <c r="AY8" s="2">
        <v>19597.75</v>
      </c>
      <c r="AZ8" s="2">
        <v>643919</v>
      </c>
      <c r="BG8" s="2">
        <v>127.2581</v>
      </c>
      <c r="BH8" s="2">
        <v>0.3133</v>
      </c>
      <c r="BI8" s="2">
        <v>125.3864</v>
      </c>
      <c r="BY8" s="2">
        <v>398722</v>
      </c>
      <c r="BZ8" s="2">
        <v>20320.17</v>
      </c>
      <c r="CA8" s="2">
        <v>378402.14</v>
      </c>
      <c r="CE8" s="6">
        <v>299125.07</v>
      </c>
      <c r="CF8" s="6">
        <v>64799.51</v>
      </c>
      <c r="CJ8" s="6">
        <v>34797.72</v>
      </c>
    </row>
    <row r="9" spans="3:88">
      <c r="C9" s="2">
        <v>2019</v>
      </c>
      <c r="F9" s="2">
        <v>876.3</v>
      </c>
      <c r="R9" s="6">
        <v>1195.69</v>
      </c>
      <c r="S9" s="6"/>
      <c r="T9" s="6"/>
      <c r="U9" s="2">
        <v>17.02</v>
      </c>
      <c r="AF9" s="6">
        <v>996132.63</v>
      </c>
      <c r="AG9" s="6"/>
      <c r="AH9" s="6"/>
      <c r="AI9" s="6"/>
      <c r="AJ9" s="6">
        <v>8910.03</v>
      </c>
      <c r="AK9" s="6">
        <v>1618.37</v>
      </c>
      <c r="AL9" s="6"/>
      <c r="AM9" s="6">
        <v>656.64</v>
      </c>
      <c r="AN9" s="6"/>
      <c r="AO9" s="6"/>
      <c r="AR9" s="6">
        <v>3337.67</v>
      </c>
      <c r="AS9" s="6">
        <v>540345.892</v>
      </c>
      <c r="AU9" s="6">
        <v>284059.84</v>
      </c>
      <c r="AV9" s="6">
        <v>27436.71</v>
      </c>
      <c r="AW9" s="6">
        <v>191034.07</v>
      </c>
      <c r="AY9" s="6">
        <v>14147.53</v>
      </c>
      <c r="AZ9" s="6">
        <v>488383</v>
      </c>
      <c r="BA9" s="6"/>
      <c r="BB9" s="6"/>
      <c r="BG9" s="6">
        <v>91.8671</v>
      </c>
      <c r="BH9" s="6">
        <v>0.5316</v>
      </c>
      <c r="BI9" s="6">
        <v>89.2305</v>
      </c>
      <c r="BY9" s="6">
        <v>357102</v>
      </c>
      <c r="BZ9" s="6">
        <v>27436.71</v>
      </c>
      <c r="CA9" s="6">
        <v>329665.03</v>
      </c>
      <c r="CE9" s="6"/>
      <c r="CF9" s="6"/>
      <c r="CJ9" s="6"/>
    </row>
    <row r="10" spans="1:88">
      <c r="A10" s="2">
        <v>4</v>
      </c>
      <c r="B10" s="2" t="s">
        <v>516</v>
      </c>
      <c r="C10" s="2">
        <v>2012</v>
      </c>
      <c r="D10" s="2">
        <v>2048656.3</v>
      </c>
      <c r="E10" s="2">
        <v>199239.5</v>
      </c>
      <c r="F10" s="2">
        <v>595880.5</v>
      </c>
      <c r="R10" s="6"/>
      <c r="S10" s="6"/>
      <c r="T10" s="6"/>
      <c r="U10" s="2">
        <v>3245</v>
      </c>
      <c r="V10" s="2">
        <v>365</v>
      </c>
      <c r="AA10" s="2">
        <v>43706.5</v>
      </c>
      <c r="AF10" s="6">
        <v>268430.2</v>
      </c>
      <c r="AG10" s="6">
        <v>263221</v>
      </c>
      <c r="AH10" s="6"/>
      <c r="AI10" s="6"/>
      <c r="AJ10" s="6"/>
      <c r="AK10" s="6"/>
      <c r="AL10" s="6"/>
      <c r="AM10" s="6"/>
      <c r="AN10" s="6"/>
      <c r="AO10" s="6"/>
      <c r="AP10" s="6">
        <v>392495.8</v>
      </c>
      <c r="AR10" s="6">
        <v>936.8</v>
      </c>
      <c r="AS10" s="6">
        <v>1593267.2</v>
      </c>
      <c r="AU10" s="6">
        <v>1584344.9</v>
      </c>
      <c r="AV10" s="6"/>
      <c r="AW10" s="6"/>
      <c r="AY10" s="6"/>
      <c r="AZ10" s="6">
        <v>8801881</v>
      </c>
      <c r="BA10" s="6"/>
      <c r="BB10" s="6"/>
      <c r="BE10" s="6">
        <v>16549</v>
      </c>
      <c r="BF10" s="6">
        <v>63215</v>
      </c>
      <c r="BG10" s="6"/>
      <c r="BH10" s="6"/>
      <c r="BI10" s="6">
        <v>349.7574</v>
      </c>
      <c r="BY10" s="6"/>
      <c r="BZ10" s="6"/>
      <c r="CA10" s="6"/>
      <c r="CE10" s="6"/>
      <c r="CF10" s="6"/>
      <c r="CJ10" s="6"/>
    </row>
    <row r="11" spans="3:88">
      <c r="C11" s="2">
        <v>2013</v>
      </c>
      <c r="D11" s="2">
        <v>2117304.1</v>
      </c>
      <c r="E11" s="2">
        <v>168993.5</v>
      </c>
      <c r="F11" s="2">
        <v>303477</v>
      </c>
      <c r="R11" s="6"/>
      <c r="S11" s="6"/>
      <c r="T11" s="6"/>
      <c r="U11" s="2">
        <v>2959</v>
      </c>
      <c r="V11" s="2">
        <v>295</v>
      </c>
      <c r="AA11" s="2">
        <v>25566.3</v>
      </c>
      <c r="AF11" s="6">
        <v>153575</v>
      </c>
      <c r="AG11" s="6">
        <v>326903.5</v>
      </c>
      <c r="AH11" s="6"/>
      <c r="AI11" s="6"/>
      <c r="AJ11" s="6"/>
      <c r="AK11" s="6"/>
      <c r="AL11" s="6"/>
      <c r="AM11" s="6"/>
      <c r="AN11" s="6"/>
      <c r="AO11" s="6"/>
      <c r="AP11" s="6">
        <v>460205.2</v>
      </c>
      <c r="AR11" s="6">
        <v>576.5</v>
      </c>
      <c r="AS11" s="6">
        <v>1035258.3</v>
      </c>
      <c r="AU11" s="6">
        <v>1012379.1</v>
      </c>
      <c r="AV11" s="6"/>
      <c r="AW11" s="6"/>
      <c r="AY11" s="6"/>
      <c r="AZ11" s="6">
        <v>7498393</v>
      </c>
      <c r="BA11" s="6"/>
      <c r="BB11" s="6"/>
      <c r="BE11" s="6">
        <v>17577</v>
      </c>
      <c r="BF11" s="6">
        <v>66876</v>
      </c>
      <c r="BG11" s="6"/>
      <c r="BH11" s="6"/>
      <c r="BI11" s="6">
        <v>305.9754</v>
      </c>
      <c r="BY11" s="6"/>
      <c r="BZ11" s="6"/>
      <c r="CA11" s="6"/>
      <c r="CE11" s="6"/>
      <c r="CF11" s="6"/>
      <c r="CJ11" s="6"/>
    </row>
    <row r="12" spans="3:88">
      <c r="C12" s="2">
        <v>2014</v>
      </c>
      <c r="D12" s="2">
        <v>2533182</v>
      </c>
      <c r="E12" s="2">
        <v>180656.3</v>
      </c>
      <c r="F12" s="2">
        <v>319526</v>
      </c>
      <c r="R12" s="6"/>
      <c r="S12" s="6"/>
      <c r="T12" s="6"/>
      <c r="U12" s="2">
        <v>678</v>
      </c>
      <c r="V12" s="2">
        <v>86</v>
      </c>
      <c r="AA12" s="2">
        <v>22164.8</v>
      </c>
      <c r="AF12" s="6">
        <v>218658.7</v>
      </c>
      <c r="AG12" s="6">
        <v>441477.6</v>
      </c>
      <c r="AH12" s="6"/>
      <c r="AI12" s="6"/>
      <c r="AJ12" s="6"/>
      <c r="AK12" s="6"/>
      <c r="AL12" s="6"/>
      <c r="AM12" s="6"/>
      <c r="AN12" s="6"/>
      <c r="AO12" s="6"/>
      <c r="AP12" s="6">
        <v>483485.6</v>
      </c>
      <c r="AR12" s="6">
        <v>547</v>
      </c>
      <c r="AS12" s="6">
        <v>1593267.2</v>
      </c>
      <c r="AU12" s="6">
        <v>809127</v>
      </c>
      <c r="AV12" s="6"/>
      <c r="AW12" s="6"/>
      <c r="AY12" s="6"/>
      <c r="AZ12" s="6">
        <v>8355436</v>
      </c>
      <c r="BA12" s="6"/>
      <c r="BB12" s="6"/>
      <c r="BE12" s="6">
        <v>20900</v>
      </c>
      <c r="BF12" s="6"/>
      <c r="BG12" s="6"/>
      <c r="BH12" s="6"/>
      <c r="BI12" s="6">
        <v>345.2283</v>
      </c>
      <c r="BY12" s="6"/>
      <c r="BZ12" s="6"/>
      <c r="CA12" s="6"/>
      <c r="CE12" s="6"/>
      <c r="CF12" s="6"/>
      <c r="CJ12" s="6"/>
    </row>
    <row r="13" spans="3:88">
      <c r="C13" s="2">
        <v>2016</v>
      </c>
      <c r="D13" s="2">
        <v>2489700</v>
      </c>
      <c r="E13" s="2">
        <v>133102.81</v>
      </c>
      <c r="F13" s="2">
        <v>444043.7</v>
      </c>
      <c r="I13" s="2">
        <v>13353.31</v>
      </c>
      <c r="R13" s="6"/>
      <c r="S13" s="6"/>
      <c r="T13" s="6"/>
      <c r="U13" s="2">
        <v>734.84</v>
      </c>
      <c r="V13" s="2">
        <v>49.13</v>
      </c>
      <c r="AF13" s="2">
        <v>58935.298</v>
      </c>
      <c r="AG13" s="2">
        <v>508863.055</v>
      </c>
      <c r="AH13" s="6"/>
      <c r="AI13" s="6"/>
      <c r="AJ13" s="6"/>
      <c r="AK13" s="6"/>
      <c r="AL13" s="6"/>
      <c r="AM13" s="2">
        <v>1501.92</v>
      </c>
      <c r="AN13" s="2">
        <v>6291.4</v>
      </c>
      <c r="AO13" s="2">
        <v>152.48</v>
      </c>
      <c r="AP13" s="2">
        <v>438266.133</v>
      </c>
      <c r="AR13" s="6">
        <v>218.99</v>
      </c>
      <c r="AS13" s="2">
        <v>853406.885</v>
      </c>
      <c r="AU13" s="2">
        <v>448636</v>
      </c>
      <c r="AV13" s="2">
        <v>6570116</v>
      </c>
      <c r="AW13" s="2">
        <v>238584</v>
      </c>
      <c r="AY13" s="2">
        <v>329149</v>
      </c>
      <c r="AZ13" s="2">
        <v>6928187</v>
      </c>
      <c r="BE13" s="2">
        <v>19409.47</v>
      </c>
      <c r="BF13" s="2">
        <v>74122.28</v>
      </c>
      <c r="BG13" s="6"/>
      <c r="BH13" s="6"/>
      <c r="BI13" s="2">
        <v>399.8417</v>
      </c>
      <c r="BJ13" s="2">
        <v>1.7327</v>
      </c>
      <c r="BY13" s="2">
        <v>7018752</v>
      </c>
      <c r="BZ13" s="2">
        <v>6570116</v>
      </c>
      <c r="CA13" s="2">
        <v>448636</v>
      </c>
      <c r="CE13" s="6"/>
      <c r="CF13" s="6"/>
      <c r="CJ13" s="6"/>
    </row>
    <row r="14" spans="3:88">
      <c r="C14" s="2">
        <v>2017</v>
      </c>
      <c r="D14" s="2">
        <v>2561190</v>
      </c>
      <c r="E14" s="2">
        <v>98261</v>
      </c>
      <c r="F14" s="2">
        <v>507436</v>
      </c>
      <c r="M14" s="6"/>
      <c r="O14" s="6"/>
      <c r="U14" s="2">
        <v>818.13</v>
      </c>
      <c r="V14" s="2">
        <v>47.04</v>
      </c>
      <c r="AF14" s="2">
        <v>536060</v>
      </c>
      <c r="AG14" s="2">
        <v>444262</v>
      </c>
      <c r="AM14" s="2">
        <v>1563.57</v>
      </c>
      <c r="AN14" s="2">
        <v>9267.65</v>
      </c>
      <c r="AO14" s="2">
        <v>102.09</v>
      </c>
      <c r="AP14" s="2">
        <v>399333</v>
      </c>
      <c r="AQ14" s="2">
        <v>192058</v>
      </c>
      <c r="AR14" s="2">
        <v>178.81</v>
      </c>
      <c r="AS14" s="2">
        <v>919277</v>
      </c>
      <c r="AU14" s="2">
        <v>483264</v>
      </c>
      <c r="AV14" s="2">
        <v>6733741</v>
      </c>
      <c r="AW14" s="2">
        <v>312962</v>
      </c>
      <c r="AY14" s="2">
        <v>345213</v>
      </c>
      <c r="AZ14" s="2">
        <v>7184755</v>
      </c>
      <c r="BC14" s="2">
        <v>3934160</v>
      </c>
      <c r="BD14" s="2">
        <v>411620</v>
      </c>
      <c r="BE14" s="2">
        <v>19070</v>
      </c>
      <c r="BF14" s="2">
        <v>78587</v>
      </c>
      <c r="BG14" s="2">
        <v>419.7745</v>
      </c>
      <c r="BH14" s="2">
        <v>1.7116</v>
      </c>
      <c r="BI14" s="2">
        <v>433.5806</v>
      </c>
      <c r="BY14" s="2">
        <v>7294592</v>
      </c>
      <c r="BZ14" s="2">
        <v>6733741</v>
      </c>
      <c r="CA14" s="2">
        <v>560851</v>
      </c>
      <c r="CB14" s="2">
        <v>656359</v>
      </c>
      <c r="CC14" s="2">
        <v>899158</v>
      </c>
      <c r="CD14" s="2">
        <v>2098836</v>
      </c>
      <c r="CE14" s="2">
        <v>-653640</v>
      </c>
      <c r="CF14" s="2">
        <v>616086</v>
      </c>
      <c r="CH14" s="2">
        <v>1256983</v>
      </c>
      <c r="CJ14" s="2">
        <v>1693476</v>
      </c>
    </row>
    <row r="15" spans="1:84">
      <c r="A15" s="2">
        <v>5</v>
      </c>
      <c r="B15" s="2" t="s">
        <v>517</v>
      </c>
      <c r="C15" s="2">
        <v>2016</v>
      </c>
      <c r="R15" s="2">
        <v>6.5961</v>
      </c>
      <c r="AF15" s="2">
        <v>834239</v>
      </c>
      <c r="AH15" s="2">
        <v>759963</v>
      </c>
      <c r="AJ15" s="2">
        <v>10824</v>
      </c>
      <c r="AL15" s="2">
        <v>249</v>
      </c>
      <c r="AR15" s="2">
        <v>1320</v>
      </c>
      <c r="AS15" s="2">
        <v>572534.641</v>
      </c>
      <c r="AU15" s="2">
        <v>300981.46</v>
      </c>
      <c r="AV15" s="2">
        <v>142.62</v>
      </c>
      <c r="AW15" s="2">
        <v>14179.56</v>
      </c>
      <c r="AY15" s="2">
        <v>11703.43</v>
      </c>
      <c r="AZ15" s="2">
        <v>303600</v>
      </c>
      <c r="BG15" s="2">
        <v>75.9963</v>
      </c>
      <c r="BH15" s="2">
        <v>0.4598</v>
      </c>
      <c r="BI15" s="2">
        <v>68.6655</v>
      </c>
      <c r="BY15" s="2">
        <v>349446</v>
      </c>
      <c r="BZ15" s="2">
        <v>142.62</v>
      </c>
      <c r="CA15" s="6">
        <v>349303.38</v>
      </c>
      <c r="CE15" s="6">
        <v>290798.21</v>
      </c>
      <c r="CF15" s="6">
        <v>58647.79</v>
      </c>
    </row>
    <row r="16" spans="3:84">
      <c r="C16" s="2">
        <v>2019</v>
      </c>
      <c r="R16" s="2">
        <v>162.0292</v>
      </c>
      <c r="AF16" s="2">
        <v>264688</v>
      </c>
      <c r="AJ16" s="2">
        <v>4185.32</v>
      </c>
      <c r="AK16" s="2">
        <v>2449.35</v>
      </c>
      <c r="AM16" s="2">
        <v>837.38</v>
      </c>
      <c r="AN16" s="2">
        <v>434.43</v>
      </c>
      <c r="AR16" s="2">
        <v>779.01</v>
      </c>
      <c r="AS16" s="2">
        <v>188653.672</v>
      </c>
      <c r="AU16" s="2">
        <v>99175.24</v>
      </c>
      <c r="AV16" s="2">
        <v>3503.38</v>
      </c>
      <c r="AW16" s="2">
        <v>16707.4</v>
      </c>
      <c r="AY16" s="2">
        <v>3664.31</v>
      </c>
      <c r="AZ16" s="2">
        <v>115722</v>
      </c>
      <c r="BG16" s="2">
        <v>23.7942</v>
      </c>
      <c r="BH16" s="2">
        <v>0.4984</v>
      </c>
      <c r="BI16" s="2">
        <v>22.8123</v>
      </c>
      <c r="BJ16" s="2">
        <v>0.5199</v>
      </c>
      <c r="BY16" s="2">
        <v>118601</v>
      </c>
      <c r="BZ16" s="2">
        <v>3503.38</v>
      </c>
      <c r="CA16" s="2">
        <v>115097.61</v>
      </c>
      <c r="CE16" s="6"/>
      <c r="CF16" s="6"/>
    </row>
    <row r="17" spans="1:84">
      <c r="A17" s="2">
        <v>6</v>
      </c>
      <c r="B17" s="2" t="s">
        <v>518</v>
      </c>
      <c r="C17" s="2">
        <v>2018</v>
      </c>
      <c r="F17" s="2">
        <v>5922.87</v>
      </c>
      <c r="AF17" s="2">
        <v>358145.97</v>
      </c>
      <c r="AI17" s="2">
        <v>18062.08</v>
      </c>
      <c r="AJ17" s="2">
        <v>9143.66</v>
      </c>
      <c r="AR17" s="2">
        <v>917.35</v>
      </c>
      <c r="AS17" s="2">
        <v>209118.9</v>
      </c>
      <c r="AU17" s="2">
        <v>109933.81</v>
      </c>
      <c r="AV17" s="2">
        <v>10347.78</v>
      </c>
      <c r="AW17" s="2">
        <v>59579.95</v>
      </c>
      <c r="AY17" s="2">
        <v>-2820.41</v>
      </c>
      <c r="AZ17" s="2">
        <v>177041</v>
      </c>
      <c r="BI17" s="2">
        <v>33.4436</v>
      </c>
      <c r="BJ17" s="2">
        <v>0.5294</v>
      </c>
      <c r="BY17" s="2">
        <v>137931</v>
      </c>
      <c r="BZ17" s="2">
        <v>10347.78</v>
      </c>
      <c r="CA17" s="2">
        <v>127583.44</v>
      </c>
      <c r="CE17" s="2">
        <v>10844.59</v>
      </c>
      <c r="CF17" s="2">
        <v>29485.29</v>
      </c>
    </row>
    <row r="18" spans="3:84">
      <c r="C18" s="2">
        <v>2019</v>
      </c>
      <c r="F18" s="2">
        <v>5441.19</v>
      </c>
      <c r="AF18" s="2">
        <v>322827.96</v>
      </c>
      <c r="AI18" s="2">
        <v>16626.01</v>
      </c>
      <c r="AJ18" s="2">
        <v>6175.98</v>
      </c>
      <c r="AR18" s="2">
        <v>5441.19</v>
      </c>
      <c r="AS18" s="2">
        <v>205012.374</v>
      </c>
      <c r="AU18" s="2">
        <v>107775.01</v>
      </c>
      <c r="AV18" s="2">
        <v>9506.23</v>
      </c>
      <c r="AW18" s="2">
        <v>53184.92</v>
      </c>
      <c r="AY18" s="2">
        <v>2703.69</v>
      </c>
      <c r="AZ18" s="2">
        <v>167762</v>
      </c>
      <c r="BI18" s="2">
        <v>30.7238</v>
      </c>
      <c r="BJ18" s="2">
        <v>0.546</v>
      </c>
      <c r="BY18" s="2">
        <v>134584</v>
      </c>
      <c r="BZ18" s="2">
        <v>9506.23</v>
      </c>
      <c r="CA18" s="2">
        <v>125078.05</v>
      </c>
      <c r="CE18" s="2">
        <v>108675.32</v>
      </c>
      <c r="CF18" s="2">
        <v>25908.95</v>
      </c>
    </row>
    <row r="19" spans="3:84">
      <c r="C19" s="2">
        <v>2020</v>
      </c>
      <c r="F19" s="2">
        <v>1538.18</v>
      </c>
      <c r="R19" s="2">
        <v>70.74</v>
      </c>
      <c r="AF19" s="2">
        <v>215498.42</v>
      </c>
      <c r="AI19" s="2">
        <v>37552.99</v>
      </c>
      <c r="AJ19" s="2">
        <v>4820.3</v>
      </c>
      <c r="AR19" s="2">
        <v>615.5</v>
      </c>
      <c r="AS19" s="2">
        <v>173922.504</v>
      </c>
      <c r="AU19" s="2">
        <v>91431.06</v>
      </c>
      <c r="AV19" s="2">
        <v>4216.85</v>
      </c>
      <c r="AW19" s="2">
        <v>40678.43</v>
      </c>
      <c r="AY19" s="2">
        <v>1677.16</v>
      </c>
      <c r="AZ19" s="2">
        <v>134649</v>
      </c>
      <c r="BI19" s="2">
        <v>23.45685</v>
      </c>
      <c r="BJ19" s="2">
        <v>0.574</v>
      </c>
      <c r="BY19" s="2">
        <v>109877</v>
      </c>
      <c r="CE19" s="2">
        <v>94225.91</v>
      </c>
      <c r="CF19" s="2">
        <v>15651.15</v>
      </c>
    </row>
    <row r="20" spans="1:79">
      <c r="A20" s="2">
        <v>7</v>
      </c>
      <c r="B20" s="2" t="s">
        <v>519</v>
      </c>
      <c r="C20" s="2">
        <v>2016</v>
      </c>
      <c r="G20" s="2">
        <v>3096.86</v>
      </c>
      <c r="AS20" s="2">
        <v>83670.35</v>
      </c>
      <c r="AU20" s="2">
        <v>43985.5</v>
      </c>
      <c r="AV20" s="2">
        <v>5995.41</v>
      </c>
      <c r="AZ20" s="2">
        <v>49980.91</v>
      </c>
      <c r="BC20" s="2">
        <v>154843</v>
      </c>
      <c r="BY20" s="2">
        <v>49980.91</v>
      </c>
      <c r="BZ20" s="2">
        <v>5995.41</v>
      </c>
      <c r="CA20" s="2">
        <v>43985.503</v>
      </c>
    </row>
    <row r="21" spans="1:61">
      <c r="A21" s="2">
        <v>8</v>
      </c>
      <c r="B21" s="2" t="s">
        <v>520</v>
      </c>
      <c r="C21" s="2">
        <v>2013</v>
      </c>
      <c r="D21" s="6">
        <v>9687442.431</v>
      </c>
      <c r="E21" s="6">
        <v>2166911</v>
      </c>
      <c r="F21" s="2">
        <v>2328197</v>
      </c>
      <c r="L21" s="6" t="s">
        <v>521</v>
      </c>
      <c r="N21" s="6" t="s">
        <v>522</v>
      </c>
      <c r="R21" s="2">
        <v>1018</v>
      </c>
      <c r="U21" s="2">
        <v>17898</v>
      </c>
      <c r="AF21" s="6">
        <v>986719.9</v>
      </c>
      <c r="AP21" s="6">
        <v>2990000</v>
      </c>
      <c r="AQ21" s="6">
        <v>1319000</v>
      </c>
      <c r="AS21" s="6">
        <v>245766.4</v>
      </c>
      <c r="AU21" s="6">
        <v>129199.4</v>
      </c>
      <c r="AV21" s="6">
        <v>29813812.3</v>
      </c>
      <c r="AW21" s="6">
        <v>2003845.5</v>
      </c>
      <c r="AY21" s="6">
        <v>1371624.2</v>
      </c>
      <c r="AZ21" s="6">
        <v>30575233</v>
      </c>
      <c r="BA21" s="6"/>
      <c r="BB21" s="6"/>
      <c r="BE21" s="6">
        <v>78453</v>
      </c>
      <c r="BF21" s="6">
        <v>279720</v>
      </c>
      <c r="BI21" s="6">
        <v>1745.2219</v>
      </c>
    </row>
    <row r="22" spans="3:61">
      <c r="C22" s="2">
        <v>2014</v>
      </c>
      <c r="D22" s="6">
        <v>9178858.115</v>
      </c>
      <c r="E22" s="6">
        <v>2027793</v>
      </c>
      <c r="F22" s="2">
        <v>2288127</v>
      </c>
      <c r="J22" s="6">
        <v>21826.43</v>
      </c>
      <c r="L22" s="6">
        <v>1630000</v>
      </c>
      <c r="N22" s="6">
        <v>236470000</v>
      </c>
      <c r="R22" s="2">
        <v>2118</v>
      </c>
      <c r="U22" s="2">
        <v>13225</v>
      </c>
      <c r="AF22" s="6">
        <v>751093</v>
      </c>
      <c r="AP22" s="6">
        <v>2821500</v>
      </c>
      <c r="AQ22" s="6">
        <v>1385300</v>
      </c>
      <c r="AS22" s="6">
        <v>317244.84</v>
      </c>
      <c r="AT22" s="6">
        <v>145688</v>
      </c>
      <c r="AU22" s="6">
        <v>166775.6</v>
      </c>
      <c r="AV22" s="6">
        <v>28411534.5</v>
      </c>
      <c r="AW22" s="6">
        <v>1950025.3</v>
      </c>
      <c r="AX22" s="6">
        <v>16025.7</v>
      </c>
      <c r="AY22" s="6">
        <v>1607168.8</v>
      </c>
      <c r="AZ22" s="6">
        <v>28937192</v>
      </c>
      <c r="BA22" s="6"/>
      <c r="BB22" s="6"/>
      <c r="BE22" s="6">
        <v>82349</v>
      </c>
      <c r="BF22" s="6">
        <v>293175</v>
      </c>
      <c r="BI22" s="6">
        <v>1678.0184</v>
      </c>
    </row>
    <row r="23" spans="3:61">
      <c r="C23" s="2">
        <v>2015</v>
      </c>
      <c r="D23" s="6">
        <v>9112924</v>
      </c>
      <c r="E23" s="6">
        <v>1537796</v>
      </c>
      <c r="F23" s="2">
        <v>2298310</v>
      </c>
      <c r="J23" s="6">
        <v>109103.39</v>
      </c>
      <c r="L23" s="6">
        <v>11546461.54</v>
      </c>
      <c r="N23" s="6">
        <v>11546461.54</v>
      </c>
      <c r="R23" s="2">
        <v>1350</v>
      </c>
      <c r="U23" s="2">
        <v>8183</v>
      </c>
      <c r="AF23" s="6">
        <v>271707.89</v>
      </c>
      <c r="AP23" s="6">
        <v>1330852.613</v>
      </c>
      <c r="AQ23" s="6">
        <v>1804000</v>
      </c>
      <c r="AR23" s="6">
        <v>240.848</v>
      </c>
      <c r="AS23" s="6">
        <v>352444.99</v>
      </c>
      <c r="AT23" s="6">
        <v>539650</v>
      </c>
      <c r="AU23" s="6">
        <v>185280.3</v>
      </c>
      <c r="AV23" s="6">
        <v>27139953.5</v>
      </c>
      <c r="AW23" s="6">
        <v>1425658.1</v>
      </c>
      <c r="AX23" s="6">
        <v>59361.5</v>
      </c>
      <c r="AY23" s="6">
        <v>1646561.5</v>
      </c>
      <c r="AZ23" s="6">
        <v>27163692</v>
      </c>
      <c r="BA23" s="6"/>
      <c r="BB23" s="6"/>
      <c r="BE23" s="6">
        <v>79049.76</v>
      </c>
      <c r="BF23" s="6">
        <v>288865.24</v>
      </c>
      <c r="BI23" s="2">
        <v>1541.6903</v>
      </c>
    </row>
    <row r="24" spans="1:61">
      <c r="A24" s="2">
        <v>9</v>
      </c>
      <c r="B24" s="2" t="s">
        <v>523</v>
      </c>
      <c r="C24" s="2">
        <v>2013</v>
      </c>
      <c r="F24" s="6">
        <v>78991.82</v>
      </c>
      <c r="R24" s="6" t="s">
        <v>524</v>
      </c>
      <c r="S24" s="6"/>
      <c r="T24" s="6"/>
      <c r="U24" s="6">
        <v>264</v>
      </c>
      <c r="AF24" s="6">
        <v>580372.8</v>
      </c>
      <c r="AH24" s="6">
        <v>1250568</v>
      </c>
      <c r="AI24" s="6">
        <v>870559.2</v>
      </c>
      <c r="AJ24" s="2">
        <v>22608.21</v>
      </c>
      <c r="AL24" s="6">
        <v>1576.7</v>
      </c>
      <c r="AM24" s="6">
        <v>1447.81</v>
      </c>
      <c r="AR24" s="6">
        <v>807.77</v>
      </c>
      <c r="AS24" s="6">
        <v>877348.567</v>
      </c>
      <c r="AU24" s="2">
        <v>461222.1</v>
      </c>
      <c r="AV24" s="2">
        <v>817.3</v>
      </c>
      <c r="AW24" s="2">
        <v>320532.5</v>
      </c>
      <c r="AZ24" s="2">
        <v>782572</v>
      </c>
      <c r="BG24" s="2">
        <v>125.0568</v>
      </c>
      <c r="BI24" s="2">
        <v>118.1943</v>
      </c>
    </row>
    <row r="25" spans="3:61">
      <c r="C25" s="2">
        <v>2014</v>
      </c>
      <c r="F25" s="6">
        <v>44301.88</v>
      </c>
      <c r="R25" s="6" t="s">
        <v>525</v>
      </c>
      <c r="S25" s="6"/>
      <c r="T25" s="6"/>
      <c r="U25" s="2">
        <v>230</v>
      </c>
      <c r="AF25" s="6">
        <v>640021.6</v>
      </c>
      <c r="AH25" s="6">
        <v>1345483</v>
      </c>
      <c r="AI25" s="6">
        <v>960032.4</v>
      </c>
      <c r="AJ25" s="2">
        <v>13416.05</v>
      </c>
      <c r="AL25" s="6">
        <v>697.4</v>
      </c>
      <c r="AM25" s="6">
        <v>859.36</v>
      </c>
      <c r="AR25" s="6">
        <v>680.17</v>
      </c>
      <c r="AS25" s="6">
        <v>1036753.986</v>
      </c>
      <c r="AU25" s="2">
        <v>545021.6</v>
      </c>
      <c r="AV25" s="2">
        <v>712.1</v>
      </c>
      <c r="AW25" s="2">
        <v>225032.8</v>
      </c>
      <c r="AZ25" s="2">
        <v>770766</v>
      </c>
      <c r="BG25" s="2">
        <v>134.5483</v>
      </c>
      <c r="BI25" s="2">
        <v>127.1812</v>
      </c>
    </row>
    <row r="26" spans="3:61">
      <c r="C26" s="2">
        <v>2015</v>
      </c>
      <c r="F26" s="6">
        <v>2167</v>
      </c>
      <c r="U26" s="2">
        <v>195.9</v>
      </c>
      <c r="AF26" s="6">
        <v>688388.68</v>
      </c>
      <c r="AH26" s="6">
        <v>1390873</v>
      </c>
      <c r="AI26" s="6">
        <v>804264.1</v>
      </c>
      <c r="AJ26" s="2">
        <v>12266.6</v>
      </c>
      <c r="AL26" s="6">
        <v>492.33</v>
      </c>
      <c r="AM26" s="6">
        <v>777.37</v>
      </c>
      <c r="AR26" s="6">
        <v>650.58</v>
      </c>
      <c r="AS26" s="6">
        <v>893691.714</v>
      </c>
      <c r="AU26" s="2">
        <v>469813.7</v>
      </c>
      <c r="AV26" s="2">
        <v>606.5</v>
      </c>
      <c r="AW26" s="2">
        <v>95676.3</v>
      </c>
      <c r="AZ26" s="2">
        <v>566097</v>
      </c>
      <c r="BG26" s="2">
        <v>139.0873</v>
      </c>
      <c r="BI26" s="2">
        <v>131.4939</v>
      </c>
    </row>
    <row r="27" spans="3:88">
      <c r="C27" s="2">
        <v>2017</v>
      </c>
      <c r="F27" s="6"/>
      <c r="I27" s="2">
        <v>491.5</v>
      </c>
      <c r="R27" s="2">
        <v>296.2</v>
      </c>
      <c r="U27" s="2">
        <v>185.2</v>
      </c>
      <c r="AF27" s="6">
        <v>699442</v>
      </c>
      <c r="AH27" s="6"/>
      <c r="AI27" s="6">
        <v>888101</v>
      </c>
      <c r="AL27" s="6"/>
      <c r="AM27" s="6">
        <v>816.7</v>
      </c>
      <c r="AR27" s="6">
        <v>630.3</v>
      </c>
      <c r="AS27" s="2">
        <v>811250.5</v>
      </c>
      <c r="AU27" s="2">
        <v>426474.39</v>
      </c>
      <c r="AV27" s="2">
        <v>8384.32</v>
      </c>
      <c r="AW27" s="2">
        <v>166831.27</v>
      </c>
      <c r="AY27" s="2">
        <v>21251.97</v>
      </c>
      <c r="AZ27" s="2">
        <v>580438</v>
      </c>
      <c r="BG27" s="6">
        <v>137.9998</v>
      </c>
      <c r="BH27" s="2">
        <v>0.4206</v>
      </c>
      <c r="BI27" s="6">
        <v>133.3546</v>
      </c>
      <c r="BY27" s="2">
        <v>503328</v>
      </c>
      <c r="BZ27" s="6">
        <v>8384.32</v>
      </c>
      <c r="CA27" s="6">
        <v>494943.93</v>
      </c>
      <c r="CE27" s="6">
        <v>437023.69</v>
      </c>
      <c r="CF27" s="6">
        <v>63761.97</v>
      </c>
      <c r="CJ27" s="6">
        <v>2542.58</v>
      </c>
    </row>
    <row r="28" spans="1:75">
      <c r="A28" s="2">
        <v>10</v>
      </c>
      <c r="B28" s="2" t="s">
        <v>526</v>
      </c>
      <c r="C28" s="2">
        <v>2013</v>
      </c>
      <c r="I28" s="6">
        <v>14160</v>
      </c>
      <c r="K28" s="6">
        <v>302933</v>
      </c>
      <c r="Q28" s="6">
        <v>168775</v>
      </c>
      <c r="U28" s="6">
        <v>1332.08</v>
      </c>
      <c r="AE28" s="6">
        <v>112604.15</v>
      </c>
      <c r="AQ28" s="2">
        <v>3954</v>
      </c>
      <c r="AS28" s="6">
        <v>100549.4524</v>
      </c>
      <c r="AT28" s="6">
        <v>63440.9987</v>
      </c>
      <c r="AU28" s="6">
        <v>52858.8</v>
      </c>
      <c r="AV28" s="2">
        <v>35631.7</v>
      </c>
      <c r="AW28" s="2">
        <v>42348.3</v>
      </c>
      <c r="AX28" s="6">
        <v>6978.5</v>
      </c>
      <c r="AY28" s="2">
        <v>144.6</v>
      </c>
      <c r="AZ28" s="2">
        <v>137962</v>
      </c>
      <c r="BR28" s="2">
        <v>236.76</v>
      </c>
      <c r="BV28" s="6">
        <v>45617.25</v>
      </c>
      <c r="BW28" s="6">
        <v>14646.95</v>
      </c>
    </row>
    <row r="29" spans="2:75">
      <c r="B29" s="2" t="s">
        <v>527</v>
      </c>
      <c r="C29" s="2">
        <v>2014</v>
      </c>
      <c r="I29" s="2">
        <v>7718</v>
      </c>
      <c r="K29" s="6">
        <v>219593</v>
      </c>
      <c r="Q29" s="6">
        <v>161939</v>
      </c>
      <c r="U29" s="6">
        <v>1184.05</v>
      </c>
      <c r="AE29" s="6">
        <v>114964</v>
      </c>
      <c r="AQ29" s="2">
        <v>2386.85</v>
      </c>
      <c r="AS29" s="6">
        <v>52961.4423</v>
      </c>
      <c r="AT29" s="6">
        <v>48051.9965</v>
      </c>
      <c r="AU29" s="6">
        <v>27841.8</v>
      </c>
      <c r="AV29" s="2">
        <v>30775.6</v>
      </c>
      <c r="AW29" s="2">
        <v>23223.4</v>
      </c>
      <c r="AX29" s="6">
        <v>5285.7</v>
      </c>
      <c r="AY29" s="2">
        <v>154.4</v>
      </c>
      <c r="AZ29" s="2">
        <v>87281</v>
      </c>
      <c r="BR29" s="2">
        <v>216.04</v>
      </c>
      <c r="BV29" s="6">
        <v>49496.3</v>
      </c>
      <c r="BW29" s="6">
        <v>12628.28</v>
      </c>
    </row>
    <row r="30" spans="3:75">
      <c r="C30" s="2">
        <v>2015</v>
      </c>
      <c r="I30" s="6">
        <v>9617.97</v>
      </c>
      <c r="K30" s="6">
        <v>139704</v>
      </c>
      <c r="Q30" s="6">
        <v>109973</v>
      </c>
      <c r="U30" s="6">
        <v>1016.92</v>
      </c>
      <c r="AE30" s="6">
        <v>103631.9</v>
      </c>
      <c r="AQ30" s="2">
        <v>2337</v>
      </c>
      <c r="AS30" s="6">
        <v>35975.6367</v>
      </c>
      <c r="AT30" s="6">
        <v>40820</v>
      </c>
      <c r="AU30" s="6">
        <v>18912.4</v>
      </c>
      <c r="AV30" s="2">
        <v>21144.8</v>
      </c>
      <c r="AW30" s="2">
        <v>28592.9</v>
      </c>
      <c r="AX30" s="6">
        <v>4490.2</v>
      </c>
      <c r="AY30" s="2">
        <v>110.4</v>
      </c>
      <c r="AZ30" s="2">
        <v>73251</v>
      </c>
      <c r="BR30" s="2">
        <v>163.32</v>
      </c>
      <c r="BV30" s="6">
        <v>41816.64</v>
      </c>
      <c r="BW30" s="6">
        <v>8422.15</v>
      </c>
    </row>
    <row r="31" spans="3:75">
      <c r="C31" s="2">
        <v>2016</v>
      </c>
      <c r="K31" s="6">
        <v>73141</v>
      </c>
      <c r="M31" s="2">
        <v>54655</v>
      </c>
      <c r="U31" s="2">
        <v>777.8314</v>
      </c>
      <c r="AE31" s="2">
        <v>124234.78</v>
      </c>
      <c r="AS31" s="6">
        <v>36890.875</v>
      </c>
      <c r="AT31" s="6">
        <v>22178</v>
      </c>
      <c r="AU31" s="2">
        <v>19393.533</v>
      </c>
      <c r="AV31" s="2">
        <v>19640.67</v>
      </c>
      <c r="AX31" s="2">
        <v>2439.58</v>
      </c>
      <c r="AZ31" s="2">
        <v>41474</v>
      </c>
      <c r="BR31" s="2">
        <v>770428.48</v>
      </c>
      <c r="BT31" s="2">
        <v>4728600</v>
      </c>
      <c r="BU31" s="2">
        <v>156342.3</v>
      </c>
      <c r="BV31" s="2">
        <v>47442.91</v>
      </c>
      <c r="BW31" s="2">
        <v>16375.94</v>
      </c>
    </row>
    <row r="32" spans="3:75">
      <c r="C32" s="2">
        <v>2017</v>
      </c>
      <c r="K32" s="6">
        <v>98797</v>
      </c>
      <c r="M32" s="6">
        <v>40500</v>
      </c>
      <c r="U32" s="6">
        <v>878.58396</v>
      </c>
      <c r="AE32" s="6">
        <v>156010.17</v>
      </c>
      <c r="AS32" s="6">
        <v>47287.87</v>
      </c>
      <c r="AT32" s="6">
        <v>17957</v>
      </c>
      <c r="AU32" s="6">
        <v>26834.5</v>
      </c>
      <c r="AV32" s="6">
        <v>17432.28</v>
      </c>
      <c r="AZ32" s="2">
        <v>44267</v>
      </c>
      <c r="BR32" s="2">
        <v>1222448</v>
      </c>
      <c r="BT32" s="2">
        <v>5040400</v>
      </c>
      <c r="BU32" s="2">
        <v>159995</v>
      </c>
      <c r="BV32" s="2">
        <v>64335</v>
      </c>
      <c r="BW32" s="2">
        <v>17796</v>
      </c>
    </row>
    <row r="33" spans="1:71">
      <c r="A33" s="2">
        <v>11</v>
      </c>
      <c r="B33" s="2" t="s">
        <v>528</v>
      </c>
      <c r="C33" s="2">
        <v>2013</v>
      </c>
      <c r="D33" s="6">
        <v>1502855.12</v>
      </c>
      <c r="E33" s="6">
        <v>452434.54</v>
      </c>
      <c r="J33" s="6">
        <v>106492.2</v>
      </c>
      <c r="L33" s="6" t="s">
        <v>529</v>
      </c>
      <c r="N33" s="2" t="s">
        <v>530</v>
      </c>
      <c r="R33" s="6" t="s">
        <v>531</v>
      </c>
      <c r="S33" s="6"/>
      <c r="T33" s="6"/>
      <c r="U33" s="6">
        <v>1134.86</v>
      </c>
      <c r="AF33" s="6">
        <v>332033.21</v>
      </c>
      <c r="AI33" s="6">
        <v>2207797.81</v>
      </c>
      <c r="AL33" s="6">
        <v>120161.29</v>
      </c>
      <c r="AP33" s="6">
        <v>279832.64</v>
      </c>
      <c r="AQ33" s="6">
        <v>137.06</v>
      </c>
      <c r="AR33" s="6">
        <v>3483.81</v>
      </c>
      <c r="AS33" s="6">
        <v>1431733.27</v>
      </c>
      <c r="AU33" s="6">
        <v>752662.2</v>
      </c>
      <c r="AV33" s="6">
        <v>4563468.3</v>
      </c>
      <c r="AW33" s="6">
        <v>529477.2</v>
      </c>
      <c r="AY33" s="6">
        <v>717545.7</v>
      </c>
      <c r="AZ33" s="6">
        <v>5128062</v>
      </c>
      <c r="BA33" s="6"/>
      <c r="BB33" s="6"/>
      <c r="BM33" s="2">
        <v>2368980.72</v>
      </c>
      <c r="BS33" s="6">
        <v>2186692.51</v>
      </c>
    </row>
    <row r="34" ht="15" customHeight="1" spans="3:71">
      <c r="C34" s="2">
        <v>2014</v>
      </c>
      <c r="D34" s="6">
        <v>1547811.27</v>
      </c>
      <c r="E34" s="6">
        <v>402095.26</v>
      </c>
      <c r="L34" s="6" t="s">
        <v>532</v>
      </c>
      <c r="N34" s="6" t="s">
        <v>533</v>
      </c>
      <c r="R34" s="6" t="s">
        <v>534</v>
      </c>
      <c r="S34" s="6"/>
      <c r="T34" s="6"/>
      <c r="U34" s="6">
        <v>1133.55</v>
      </c>
      <c r="AF34" s="6">
        <v>305387.17</v>
      </c>
      <c r="AI34" s="6">
        <v>2302716.33</v>
      </c>
      <c r="AL34" s="6">
        <v>155054.3</v>
      </c>
      <c r="AP34" s="6">
        <v>309268.27</v>
      </c>
      <c r="AR34" s="6">
        <v>2999.34</v>
      </c>
      <c r="AS34" s="6">
        <v>1410779.03</v>
      </c>
      <c r="AU34" s="6">
        <v>741646.5</v>
      </c>
      <c r="AV34" s="6">
        <v>4674851.8</v>
      </c>
      <c r="AW34" s="6">
        <v>557422.1</v>
      </c>
      <c r="AY34" s="6">
        <v>508869.8</v>
      </c>
      <c r="AZ34" s="6">
        <v>5465050.6</v>
      </c>
      <c r="BA34" s="6"/>
      <c r="BB34" s="6"/>
      <c r="BM34" s="2">
        <v>2412627.53</v>
      </c>
      <c r="BS34" s="6">
        <v>2332728.9</v>
      </c>
    </row>
    <row r="35" spans="3:71">
      <c r="C35" s="2">
        <v>2015</v>
      </c>
      <c r="D35" s="6">
        <v>1553718.73</v>
      </c>
      <c r="E35" s="6">
        <v>164827.67</v>
      </c>
      <c r="F35" s="6">
        <v>218949.87</v>
      </c>
      <c r="L35" s="6" t="s">
        <v>535</v>
      </c>
      <c r="N35" s="6" t="s">
        <v>536</v>
      </c>
      <c r="R35" s="6" t="s">
        <v>537</v>
      </c>
      <c r="S35" s="6"/>
      <c r="T35" s="6"/>
      <c r="U35" s="6">
        <v>1043.61</v>
      </c>
      <c r="AF35" s="6">
        <v>290195.22</v>
      </c>
      <c r="AI35" s="6">
        <v>2218206.14</v>
      </c>
      <c r="AL35" s="6">
        <v>124922.73</v>
      </c>
      <c r="AP35" s="6">
        <v>286005.2</v>
      </c>
      <c r="AQ35" s="6">
        <v>9446.86</v>
      </c>
      <c r="AR35" s="6">
        <v>2735.04</v>
      </c>
      <c r="AS35" s="6">
        <v>1237699.4</v>
      </c>
      <c r="AU35" s="6">
        <v>650658.6</v>
      </c>
      <c r="AV35" s="6">
        <v>4525015.5</v>
      </c>
      <c r="AW35" s="6">
        <v>534884</v>
      </c>
      <c r="AY35" s="6">
        <v>725669.6</v>
      </c>
      <c r="AZ35" s="6">
        <v>4984888.4</v>
      </c>
      <c r="BA35" s="6"/>
      <c r="BB35" s="6"/>
      <c r="BM35" s="2">
        <v>2294575.61</v>
      </c>
      <c r="BS35" s="6">
        <v>2278500.93</v>
      </c>
    </row>
    <row r="36" spans="3:84">
      <c r="C36" s="2">
        <v>2016</v>
      </c>
      <c r="D36" s="2">
        <v>1145081.88</v>
      </c>
      <c r="E36" s="2">
        <v>160182.13</v>
      </c>
      <c r="F36" s="2">
        <v>154176.68</v>
      </c>
      <c r="I36" s="2">
        <v>343893.835</v>
      </c>
      <c r="L36" s="2" t="s">
        <v>538</v>
      </c>
      <c r="N36" s="2" t="s">
        <v>539</v>
      </c>
      <c r="R36" s="2">
        <v>1591.6689</v>
      </c>
      <c r="U36" s="2">
        <v>1085.899</v>
      </c>
      <c r="AF36" s="2">
        <v>386516.126</v>
      </c>
      <c r="AI36" s="6">
        <v>2504551.147</v>
      </c>
      <c r="AP36" s="2">
        <v>307176.333</v>
      </c>
      <c r="AQ36" s="2">
        <v>13510.48</v>
      </c>
      <c r="AR36" s="2">
        <v>3520.497</v>
      </c>
      <c r="AS36" s="6">
        <v>1358486.95</v>
      </c>
      <c r="AU36" s="6">
        <v>714156.59</v>
      </c>
      <c r="AV36" s="6">
        <v>4127905.13</v>
      </c>
      <c r="AW36" s="6">
        <v>600255.39</v>
      </c>
      <c r="AY36" s="6">
        <v>478392.38</v>
      </c>
      <c r="AZ36" s="6">
        <v>4963925</v>
      </c>
      <c r="BA36" s="6"/>
      <c r="BB36" s="6"/>
      <c r="BG36" s="6"/>
      <c r="BI36" s="2">
        <v>228.5766</v>
      </c>
      <c r="BM36" s="6">
        <v>2671723</v>
      </c>
      <c r="BN36" s="6"/>
      <c r="BO36" s="6"/>
      <c r="BP36" s="6"/>
      <c r="BQ36" s="6">
        <v>2541242.58</v>
      </c>
      <c r="BY36" s="6">
        <v>4842062</v>
      </c>
      <c r="BZ36" s="6">
        <v>4127905.13</v>
      </c>
      <c r="CA36" s="6">
        <v>714156.59</v>
      </c>
      <c r="CB36" s="6">
        <v>319542.38</v>
      </c>
      <c r="CC36" s="6">
        <v>602543.35</v>
      </c>
      <c r="CD36" s="6">
        <v>1416903.8</v>
      </c>
      <c r="CE36" s="6">
        <v>163592.16</v>
      </c>
      <c r="CF36" s="6">
        <v>2195040</v>
      </c>
    </row>
    <row r="37" spans="1:69">
      <c r="A37" s="2">
        <v>12</v>
      </c>
      <c r="B37" s="2" t="s">
        <v>540</v>
      </c>
      <c r="C37" s="2">
        <v>2013</v>
      </c>
      <c r="E37" s="6">
        <v>98273</v>
      </c>
      <c r="F37" s="6">
        <v>53076.67</v>
      </c>
      <c r="I37" s="6">
        <v>475770.33</v>
      </c>
      <c r="U37" s="6">
        <v>477.06</v>
      </c>
      <c r="AF37" s="6">
        <v>57101.4</v>
      </c>
      <c r="AP37" s="6">
        <v>31860</v>
      </c>
      <c r="AR37" s="6">
        <v>174.13</v>
      </c>
      <c r="AS37" s="6">
        <v>449543.34</v>
      </c>
      <c r="AU37" s="6">
        <v>236324.9</v>
      </c>
      <c r="AV37" s="6">
        <v>1644739</v>
      </c>
      <c r="AW37" s="6">
        <v>16523.3</v>
      </c>
      <c r="AY37" s="6">
        <v>17898.4</v>
      </c>
      <c r="AZ37" s="6">
        <v>1879688.8</v>
      </c>
      <c r="BA37" s="6"/>
      <c r="BB37" s="6"/>
      <c r="BI37" s="6">
        <v>99.4635</v>
      </c>
      <c r="BQ37" s="6">
        <v>15006</v>
      </c>
    </row>
    <row r="38" spans="3:69">
      <c r="C38" s="2">
        <v>2014</v>
      </c>
      <c r="E38" s="6">
        <v>80412</v>
      </c>
      <c r="F38" s="6">
        <v>60326.33</v>
      </c>
      <c r="I38" s="6">
        <v>423444.51</v>
      </c>
      <c r="U38" s="6">
        <v>627.98</v>
      </c>
      <c r="AF38" s="6">
        <v>45983.35</v>
      </c>
      <c r="AP38" s="6">
        <v>37861.4</v>
      </c>
      <c r="AR38" s="6">
        <v>99.61</v>
      </c>
      <c r="AS38" s="6">
        <v>363576.83</v>
      </c>
      <c r="AU38" s="6">
        <v>191132.3</v>
      </c>
      <c r="AV38" s="6">
        <v>1473774.5</v>
      </c>
      <c r="AW38" s="6">
        <v>18905.7</v>
      </c>
      <c r="AY38" s="6">
        <v>14535.7</v>
      </c>
      <c r="AZ38" s="6">
        <v>1669276.8</v>
      </c>
      <c r="BA38" s="6"/>
      <c r="BB38" s="6"/>
      <c r="BI38" s="6">
        <v>85.9867</v>
      </c>
      <c r="BQ38" s="6">
        <v>7522</v>
      </c>
    </row>
    <row r="39" spans="3:61">
      <c r="C39" s="2">
        <v>2015</v>
      </c>
      <c r="E39" s="6">
        <v>94782.1</v>
      </c>
      <c r="F39" s="6">
        <v>76823.4</v>
      </c>
      <c r="I39" s="6">
        <v>456783</v>
      </c>
      <c r="U39" s="6">
        <v>986.3</v>
      </c>
      <c r="AF39" s="6">
        <v>48537</v>
      </c>
      <c r="AP39" s="6">
        <v>38915</v>
      </c>
      <c r="AR39" s="6">
        <v>93</v>
      </c>
      <c r="AS39" s="6">
        <v>332794.2</v>
      </c>
      <c r="AU39" s="6">
        <v>174949.9</v>
      </c>
      <c r="AV39" s="6">
        <v>1626752.9</v>
      </c>
      <c r="AW39" s="6">
        <v>19417.1</v>
      </c>
      <c r="AY39" s="6">
        <v>15529.8</v>
      </c>
      <c r="AZ39" s="6">
        <v>1805590</v>
      </c>
      <c r="BA39" s="6"/>
      <c r="BB39" s="6"/>
      <c r="BI39" s="2">
        <v>100.8429</v>
      </c>
    </row>
    <row r="40" spans="3:84">
      <c r="C40" s="2">
        <v>2016</v>
      </c>
      <c r="E40" s="2">
        <v>90504.27</v>
      </c>
      <c r="F40" s="2">
        <v>67250.71</v>
      </c>
      <c r="I40" s="2">
        <v>399058.68</v>
      </c>
      <c r="U40" s="2">
        <v>988.37825</v>
      </c>
      <c r="AF40" s="2">
        <v>65089.07</v>
      </c>
      <c r="AP40" s="2">
        <v>33239.77</v>
      </c>
      <c r="AR40" s="2">
        <v>89.41</v>
      </c>
      <c r="AS40" s="6">
        <v>415386.43</v>
      </c>
      <c r="AU40" s="6">
        <v>218368.65</v>
      </c>
      <c r="AV40" s="6">
        <v>1436619.93</v>
      </c>
      <c r="AW40" s="6">
        <v>16985.81</v>
      </c>
      <c r="AY40" s="6">
        <v>15749.53</v>
      </c>
      <c r="AZ40" s="6">
        <v>1656225</v>
      </c>
      <c r="BA40" s="6"/>
      <c r="BB40" s="6"/>
      <c r="BG40" s="6">
        <v>102.2697</v>
      </c>
      <c r="BH40" s="2">
        <v>1.618</v>
      </c>
      <c r="BY40" s="6">
        <v>1654989</v>
      </c>
      <c r="BZ40" s="6">
        <v>1436619.93</v>
      </c>
      <c r="CA40" s="6">
        <v>218368.65</v>
      </c>
      <c r="CC40" s="6">
        <v>147544</v>
      </c>
      <c r="CD40" s="6">
        <v>1461606</v>
      </c>
      <c r="CE40" s="6">
        <v>12929</v>
      </c>
      <c r="CF40" s="6">
        <v>31855</v>
      </c>
    </row>
    <row r="41" spans="1:90">
      <c r="A41" s="2">
        <v>13</v>
      </c>
      <c r="B41" s="2" t="s">
        <v>541</v>
      </c>
      <c r="C41" s="2">
        <v>2013</v>
      </c>
      <c r="F41" s="6">
        <v>264.07</v>
      </c>
      <c r="R41" s="6">
        <v>84.1863</v>
      </c>
      <c r="S41" s="6"/>
      <c r="T41" s="6"/>
      <c r="U41" s="6" t="s">
        <v>542</v>
      </c>
      <c r="V41" s="6" t="s">
        <v>543</v>
      </c>
      <c r="W41" s="6"/>
      <c r="X41" s="6">
        <v>10883.02</v>
      </c>
      <c r="Y41" s="6">
        <v>1191.45</v>
      </c>
      <c r="Z41" s="6">
        <v>1353.7</v>
      </c>
      <c r="AA41" s="6"/>
      <c r="AB41" s="6">
        <v>9868.48</v>
      </c>
      <c r="AC41" s="6">
        <v>7266.64</v>
      </c>
      <c r="AD41" s="6">
        <v>652.42</v>
      </c>
      <c r="AF41" s="2">
        <v>19047.22</v>
      </c>
      <c r="AI41" s="2">
        <v>49138.75</v>
      </c>
      <c r="AR41" s="6">
        <v>712.09</v>
      </c>
      <c r="AS41" s="6">
        <v>117228.452</v>
      </c>
      <c r="AU41" s="6">
        <v>61627</v>
      </c>
      <c r="AV41" s="6">
        <v>2660.6</v>
      </c>
      <c r="AW41" s="6">
        <v>13937.15</v>
      </c>
      <c r="AY41" s="6">
        <v>12041.85</v>
      </c>
      <c r="AZ41" s="6">
        <v>66183</v>
      </c>
      <c r="BA41" s="6"/>
      <c r="BB41" s="6"/>
      <c r="BK41" s="6">
        <v>70010.77</v>
      </c>
      <c r="BL41" s="6">
        <v>0.945</v>
      </c>
      <c r="BY41" s="2">
        <v>63292</v>
      </c>
      <c r="BZ41" s="2">
        <v>2281.62</v>
      </c>
      <c r="CA41" s="2">
        <v>61010.73</v>
      </c>
      <c r="CI41" s="2">
        <v>50350.68</v>
      </c>
      <c r="CJ41" s="6">
        <v>12941.67</v>
      </c>
      <c r="CK41" s="2">
        <v>70011</v>
      </c>
      <c r="CL41" s="2">
        <v>0.9</v>
      </c>
    </row>
    <row r="42" spans="3:90">
      <c r="C42" s="2">
        <v>2014</v>
      </c>
      <c r="F42" s="6">
        <v>236.1</v>
      </c>
      <c r="R42" s="6">
        <v>89.3671</v>
      </c>
      <c r="S42" s="6"/>
      <c r="T42" s="6"/>
      <c r="U42" s="6" t="s">
        <v>544</v>
      </c>
      <c r="V42" s="6" t="s">
        <v>545</v>
      </c>
      <c r="W42" s="6"/>
      <c r="X42" s="6">
        <v>12187.06</v>
      </c>
      <c r="Y42" s="6">
        <v>700.9</v>
      </c>
      <c r="Z42" s="6">
        <v>1427.61</v>
      </c>
      <c r="AA42" s="6"/>
      <c r="AB42" s="6">
        <v>10584.49</v>
      </c>
      <c r="AC42" s="6">
        <v>8195.71</v>
      </c>
      <c r="AD42" s="6">
        <v>648.68</v>
      </c>
      <c r="AF42" s="2">
        <v>24288.48</v>
      </c>
      <c r="AI42" s="2">
        <v>39772.8</v>
      </c>
      <c r="AR42" s="6">
        <v>997.52</v>
      </c>
      <c r="AS42" s="6">
        <v>132522.752</v>
      </c>
      <c r="AU42" s="6">
        <v>69667.21</v>
      </c>
      <c r="AV42" s="6">
        <v>2609.55</v>
      </c>
      <c r="AW42" s="6">
        <v>13630.36</v>
      </c>
      <c r="AY42" s="6">
        <v>11812.4</v>
      </c>
      <c r="AZ42" s="6">
        <v>74095</v>
      </c>
      <c r="BA42" s="6"/>
      <c r="BB42" s="6"/>
      <c r="BK42" s="6">
        <v>68676.77</v>
      </c>
      <c r="BL42" s="6">
        <v>1.079</v>
      </c>
      <c r="BY42" s="2">
        <v>71315</v>
      </c>
      <c r="BZ42" s="2">
        <v>2344.77</v>
      </c>
      <c r="CA42" s="2">
        <v>68970.54</v>
      </c>
      <c r="CI42" s="2">
        <v>56685.19</v>
      </c>
      <c r="CJ42" s="6">
        <v>14630.11</v>
      </c>
      <c r="CK42" s="2">
        <v>68677</v>
      </c>
      <c r="CL42" s="2">
        <v>1.04</v>
      </c>
    </row>
    <row r="43" spans="3:90">
      <c r="C43" s="2">
        <v>2015</v>
      </c>
      <c r="F43" s="6">
        <v>82.43</v>
      </c>
      <c r="R43" s="6">
        <v>127.0371</v>
      </c>
      <c r="S43" s="6"/>
      <c r="T43" s="6"/>
      <c r="U43" s="6" t="s">
        <v>546</v>
      </c>
      <c r="V43" s="6" t="s">
        <v>547</v>
      </c>
      <c r="W43" s="6"/>
      <c r="X43" s="6">
        <v>12160.92</v>
      </c>
      <c r="Y43" s="6">
        <v>634.29</v>
      </c>
      <c r="Z43" s="6">
        <v>1263.01</v>
      </c>
      <c r="AA43" s="6"/>
      <c r="AB43" s="6">
        <v>8168.96</v>
      </c>
      <c r="AC43" s="6">
        <v>7974.51</v>
      </c>
      <c r="AD43" s="6">
        <v>738.55</v>
      </c>
      <c r="AF43" s="2">
        <v>27392.85</v>
      </c>
      <c r="AI43" s="2">
        <v>36484.15</v>
      </c>
      <c r="AR43" s="6">
        <v>1282.43</v>
      </c>
      <c r="AS43" s="6">
        <v>147766.901</v>
      </c>
      <c r="AU43" s="6">
        <v>77681.06</v>
      </c>
      <c r="AV43" s="6">
        <v>3118.3</v>
      </c>
      <c r="AW43" s="6">
        <v>14072.66</v>
      </c>
      <c r="AY43" s="6">
        <v>12297.06</v>
      </c>
      <c r="AZ43" s="6">
        <v>82575</v>
      </c>
      <c r="BA43" s="6"/>
      <c r="BB43" s="6"/>
      <c r="BK43" s="6">
        <v>71494.53</v>
      </c>
      <c r="BL43" s="6">
        <v>1.155</v>
      </c>
      <c r="BY43" s="2">
        <v>79795</v>
      </c>
      <c r="BZ43" s="2">
        <v>2890.79</v>
      </c>
      <c r="CA43" s="2">
        <v>76904.25</v>
      </c>
      <c r="CI43" s="2">
        <v>63482.02</v>
      </c>
      <c r="CJ43" s="6">
        <v>16313.02</v>
      </c>
      <c r="CK43" s="2">
        <v>71495</v>
      </c>
      <c r="CL43" s="2">
        <v>1.12</v>
      </c>
    </row>
    <row r="44" spans="3:90">
      <c r="C44" s="2">
        <v>2016</v>
      </c>
      <c r="F44" s="6">
        <v>64.97</v>
      </c>
      <c r="R44" s="6">
        <v>151.3512</v>
      </c>
      <c r="S44" s="6"/>
      <c r="T44" s="6"/>
      <c r="U44" s="6" t="s">
        <v>548</v>
      </c>
      <c r="V44" s="6" t="s">
        <v>549</v>
      </c>
      <c r="W44" s="6"/>
      <c r="X44" s="6">
        <v>7760.66</v>
      </c>
      <c r="Y44" s="6">
        <v>829.19</v>
      </c>
      <c r="Z44" s="6">
        <v>186.4</v>
      </c>
      <c r="AA44" s="6">
        <v>1077.92</v>
      </c>
      <c r="AB44" s="6">
        <v>283.99</v>
      </c>
      <c r="AC44" s="6">
        <v>9056.66</v>
      </c>
      <c r="AD44" s="6">
        <v>691.14</v>
      </c>
      <c r="AF44" s="2">
        <v>45469.59</v>
      </c>
      <c r="AI44" s="2">
        <v>17370.75</v>
      </c>
      <c r="AR44" s="6">
        <v>2199.05</v>
      </c>
      <c r="AS44" s="6">
        <v>156557.01</v>
      </c>
      <c r="AU44" s="6">
        <v>82302.02</v>
      </c>
      <c r="AV44" s="6">
        <v>3630.92</v>
      </c>
      <c r="AW44" s="6">
        <v>13592.53</v>
      </c>
      <c r="AY44" s="6">
        <v>12677.47</v>
      </c>
      <c r="AZ44" s="6">
        <v>86848</v>
      </c>
      <c r="BA44" s="6"/>
      <c r="BB44" s="6"/>
      <c r="BK44" s="6">
        <v>73706.2</v>
      </c>
      <c r="BL44" s="6">
        <v>1.178</v>
      </c>
      <c r="BY44" s="2">
        <v>84865</v>
      </c>
      <c r="BZ44" s="2">
        <v>3386.01</v>
      </c>
      <c r="CA44" s="2">
        <v>81479</v>
      </c>
      <c r="CI44" s="2">
        <v>67581.59</v>
      </c>
      <c r="CJ44" s="6">
        <v>17283.42</v>
      </c>
      <c r="CK44" s="2">
        <v>73706</v>
      </c>
      <c r="CL44" s="2">
        <v>1.15</v>
      </c>
    </row>
    <row r="45" spans="1:90">
      <c r="A45" s="2">
        <v>14</v>
      </c>
      <c r="B45" s="2" t="s">
        <v>550</v>
      </c>
      <c r="C45" s="2">
        <v>2016</v>
      </c>
      <c r="E45" s="2">
        <v>363.58</v>
      </c>
      <c r="H45" s="2">
        <v>11.896</v>
      </c>
      <c r="I45" s="2">
        <v>51.6</v>
      </c>
      <c r="U45" s="2" t="s">
        <v>551</v>
      </c>
      <c r="W45" s="2">
        <v>6213.472</v>
      </c>
      <c r="AR45" s="6">
        <v>419.64</v>
      </c>
      <c r="AS45" s="6">
        <v>66348.03</v>
      </c>
      <c r="AU45" s="6">
        <v>34879.16</v>
      </c>
      <c r="AV45" s="6">
        <v>870.22</v>
      </c>
      <c r="AW45" s="6">
        <v>20994.39</v>
      </c>
      <c r="AZ45" s="6">
        <v>56744</v>
      </c>
      <c r="BA45" s="6"/>
      <c r="BB45" s="6"/>
      <c r="BY45" s="2">
        <v>35749</v>
      </c>
      <c r="BZ45" s="2">
        <v>870.22</v>
      </c>
      <c r="CA45" s="2">
        <v>34879.16</v>
      </c>
      <c r="CI45" s="2">
        <v>35395.78</v>
      </c>
      <c r="CJ45" s="6">
        <v>353.6</v>
      </c>
      <c r="CK45" s="2">
        <v>7167</v>
      </c>
      <c r="CL45" s="2">
        <v>4.99</v>
      </c>
    </row>
    <row r="46" spans="1:61">
      <c r="A46" s="2">
        <v>15</v>
      </c>
      <c r="B46" s="2" t="s">
        <v>552</v>
      </c>
      <c r="C46" s="2">
        <v>2013</v>
      </c>
      <c r="F46" s="6">
        <v>45321.85</v>
      </c>
      <c r="AF46" s="6">
        <v>481231.5</v>
      </c>
      <c r="AI46" s="6">
        <v>326125</v>
      </c>
      <c r="AJ46" s="6">
        <v>9687.48</v>
      </c>
      <c r="AR46" s="6">
        <v>3102</v>
      </c>
      <c r="AS46" s="6">
        <v>471327.9</v>
      </c>
      <c r="AU46" s="6">
        <v>247777.1</v>
      </c>
      <c r="AV46" s="6">
        <v>109127.3</v>
      </c>
      <c r="AW46" s="6">
        <v>150476.6</v>
      </c>
      <c r="AY46" s="6">
        <v>5662.7</v>
      </c>
      <c r="AZ46" s="6">
        <v>501718</v>
      </c>
      <c r="BA46" s="6"/>
      <c r="BB46" s="6"/>
      <c r="BG46" s="2">
        <v>77.4982</v>
      </c>
      <c r="BI46" s="2">
        <v>110.1034</v>
      </c>
    </row>
    <row r="47" spans="3:61">
      <c r="C47" s="2">
        <v>2014</v>
      </c>
      <c r="F47" s="6">
        <v>45968.85</v>
      </c>
      <c r="AF47" s="6">
        <v>367158.14</v>
      </c>
      <c r="AI47" s="6">
        <v>195128.26</v>
      </c>
      <c r="AJ47" s="6">
        <v>6535.21</v>
      </c>
      <c r="AR47" s="6">
        <v>2165</v>
      </c>
      <c r="AS47" s="6">
        <v>348223</v>
      </c>
      <c r="AU47" s="6">
        <v>183060.8</v>
      </c>
      <c r="AV47" s="6">
        <v>110856.7</v>
      </c>
      <c r="AW47" s="6">
        <v>104811.4</v>
      </c>
      <c r="AY47" s="6">
        <v>4577.6</v>
      </c>
      <c r="AZ47" s="6">
        <v>394151</v>
      </c>
      <c r="BA47" s="6"/>
      <c r="BB47" s="6"/>
      <c r="BG47" s="2">
        <v>54.092</v>
      </c>
      <c r="BI47" s="2">
        <v>88.6843</v>
      </c>
    </row>
    <row r="48" spans="3:61">
      <c r="C48" s="2">
        <v>2015</v>
      </c>
      <c r="F48" s="6">
        <v>42237.27</v>
      </c>
      <c r="AF48" s="6">
        <v>335380</v>
      </c>
      <c r="AI48" s="6">
        <v>223537</v>
      </c>
      <c r="AJ48" s="6">
        <v>6487.23</v>
      </c>
      <c r="AR48" s="6">
        <v>2136</v>
      </c>
      <c r="AS48" s="6">
        <v>330572.6</v>
      </c>
      <c r="AU48" s="6">
        <v>173782</v>
      </c>
      <c r="AV48" s="6">
        <v>101463.8</v>
      </c>
      <c r="AW48" s="6">
        <v>104124.5</v>
      </c>
      <c r="AY48" s="6">
        <v>4507.3</v>
      </c>
      <c r="AZ48" s="2">
        <v>374863</v>
      </c>
      <c r="BG48" s="2">
        <v>53.656</v>
      </c>
      <c r="BI48" s="2">
        <v>87.672</v>
      </c>
    </row>
    <row r="49" spans="3:84">
      <c r="C49" s="2">
        <v>2016</v>
      </c>
      <c r="F49" s="2">
        <v>37568.31</v>
      </c>
      <c r="AF49" s="2">
        <v>420940</v>
      </c>
      <c r="AI49" s="2">
        <v>180400</v>
      </c>
      <c r="AJ49" s="2">
        <v>6592.31</v>
      </c>
      <c r="AR49" s="2">
        <v>1452</v>
      </c>
      <c r="AS49" s="2">
        <v>322168.1</v>
      </c>
      <c r="AU49" s="2">
        <v>169363.77</v>
      </c>
      <c r="AV49" s="2">
        <v>91765.12</v>
      </c>
      <c r="AW49" s="2">
        <v>108918.58</v>
      </c>
      <c r="AY49" s="2">
        <v>4592.58</v>
      </c>
      <c r="AZ49" s="2">
        <v>365455</v>
      </c>
      <c r="BI49" s="2">
        <v>93.840065</v>
      </c>
      <c r="BJ49" s="2">
        <v>0.2783</v>
      </c>
      <c r="BM49" s="2">
        <v>553234.25</v>
      </c>
      <c r="BN49" s="2">
        <v>538435.74</v>
      </c>
      <c r="BO49" s="2">
        <v>399964.91</v>
      </c>
      <c r="BY49" s="2">
        <v>261128.89</v>
      </c>
      <c r="BZ49" s="2">
        <v>91765.12</v>
      </c>
      <c r="CA49" s="2">
        <v>169363.77</v>
      </c>
      <c r="CE49" s="2">
        <v>143779.03</v>
      </c>
      <c r="CF49" s="2">
        <v>117349.86</v>
      </c>
    </row>
    <row r="50" spans="1:59">
      <c r="A50" s="2">
        <v>16</v>
      </c>
      <c r="B50" s="2" t="s">
        <v>553</v>
      </c>
      <c r="C50" s="2">
        <v>2017</v>
      </c>
      <c r="F50" s="6">
        <v>75468</v>
      </c>
      <c r="R50" s="6">
        <v>918.3731</v>
      </c>
      <c r="U50" s="6">
        <v>47.64</v>
      </c>
      <c r="V50" s="2">
        <v>43.71</v>
      </c>
      <c r="AH50" s="6">
        <v>41601</v>
      </c>
      <c r="AI50" s="13">
        <v>10745.9</v>
      </c>
      <c r="AR50" s="6">
        <v>265.278</v>
      </c>
      <c r="AS50" s="6">
        <v>76998.69</v>
      </c>
      <c r="AU50" s="6">
        <v>42156.78</v>
      </c>
      <c r="AV50" s="6">
        <v>191388.12</v>
      </c>
      <c r="AW50" s="6">
        <v>3460.66</v>
      </c>
      <c r="AY50" s="6">
        <v>-702.97</v>
      </c>
      <c r="AZ50" s="6">
        <v>236303</v>
      </c>
      <c r="BA50" s="6"/>
      <c r="BG50" s="6">
        <v>4.564736</v>
      </c>
    </row>
    <row r="51" spans="3:52">
      <c r="C51" s="2">
        <v>2019</v>
      </c>
      <c r="F51" s="6">
        <v>60775</v>
      </c>
      <c r="R51" s="2">
        <v>1062.2823</v>
      </c>
      <c r="U51" s="2">
        <v>92.83</v>
      </c>
      <c r="V51" s="2">
        <v>36.63</v>
      </c>
      <c r="AF51" s="2">
        <v>43599.37</v>
      </c>
      <c r="AI51" s="2">
        <v>7860.21</v>
      </c>
      <c r="AR51" s="6">
        <v>219.931</v>
      </c>
      <c r="AS51" s="2">
        <v>83340.297</v>
      </c>
      <c r="AU51" s="2">
        <v>43811.99</v>
      </c>
      <c r="AV51" s="2">
        <v>129217.92</v>
      </c>
      <c r="AW51" s="2">
        <v>2828.99</v>
      </c>
      <c r="AY51" s="2">
        <v>-687.81</v>
      </c>
      <c r="AZ51" s="2">
        <v>175171</v>
      </c>
    </row>
    <row r="52" spans="1:52">
      <c r="A52" s="2">
        <v>17</v>
      </c>
      <c r="B52" s="2" t="s">
        <v>554</v>
      </c>
      <c r="C52" s="2">
        <v>2019</v>
      </c>
      <c r="F52" s="6">
        <v>5906.8</v>
      </c>
      <c r="U52" s="2">
        <v>73.2376</v>
      </c>
      <c r="AS52" s="2">
        <v>25100.408</v>
      </c>
      <c r="AU52" s="2">
        <v>13195.28</v>
      </c>
      <c r="AV52" s="2">
        <v>12505.44</v>
      </c>
      <c r="AW52" s="2">
        <v>13.77</v>
      </c>
      <c r="AZ52" s="2">
        <v>25714</v>
      </c>
    </row>
    <row r="53" spans="1:52">
      <c r="A53" s="2">
        <v>18</v>
      </c>
      <c r="B53" s="2" t="s">
        <v>555</v>
      </c>
      <c r="C53" s="2">
        <v>2013</v>
      </c>
      <c r="F53" s="2">
        <v>13619.51</v>
      </c>
      <c r="AS53" s="2">
        <v>21602.8</v>
      </c>
      <c r="AU53" s="6">
        <v>11356.59</v>
      </c>
      <c r="AV53" s="6">
        <v>28212.94</v>
      </c>
      <c r="AZ53" s="2">
        <v>39570</v>
      </c>
    </row>
    <row r="54" spans="2:52">
      <c r="B54" s="2" t="s">
        <v>556</v>
      </c>
      <c r="C54" s="2">
        <v>2014</v>
      </c>
      <c r="F54" s="2">
        <v>14786.61</v>
      </c>
      <c r="AS54" s="2">
        <v>23785</v>
      </c>
      <c r="AU54" s="6">
        <v>12503.77</v>
      </c>
      <c r="AV54" s="6">
        <v>30630.6</v>
      </c>
      <c r="AZ54" s="2">
        <v>43134</v>
      </c>
    </row>
    <row r="55" spans="3:52">
      <c r="C55" s="2">
        <v>2015</v>
      </c>
      <c r="F55" s="2">
        <v>10749.26</v>
      </c>
      <c r="AS55" s="2">
        <v>21174.2</v>
      </c>
      <c r="AU55" s="6">
        <v>11131.28</v>
      </c>
      <c r="AV55" s="6">
        <v>22267.19</v>
      </c>
      <c r="AZ55" s="2">
        <v>33398</v>
      </c>
    </row>
    <row r="56" spans="3:52">
      <c r="C56" s="2">
        <v>2016</v>
      </c>
      <c r="F56" s="2">
        <v>11535.09</v>
      </c>
      <c r="AS56" s="2">
        <v>21341.6</v>
      </c>
      <c r="AU56" s="6">
        <v>11219.28</v>
      </c>
      <c r="AV56" s="6">
        <v>23895.05</v>
      </c>
      <c r="AZ56" s="2">
        <v>35114</v>
      </c>
    </row>
    <row r="57" spans="3:52">
      <c r="C57" s="2">
        <v>2019</v>
      </c>
      <c r="F57" s="6">
        <v>1161.41</v>
      </c>
      <c r="R57" s="2">
        <v>842.5318</v>
      </c>
      <c r="AS57" s="2">
        <v>38956.1</v>
      </c>
      <c r="AU57" s="6">
        <v>20479.22</v>
      </c>
      <c r="AV57" s="6">
        <v>20716.46</v>
      </c>
      <c r="AZ57" s="2">
        <v>41196</v>
      </c>
    </row>
    <row r="58" spans="1:79">
      <c r="A58" s="2">
        <v>19</v>
      </c>
      <c r="B58" s="2" t="s">
        <v>557</v>
      </c>
      <c r="C58" s="2">
        <v>2019</v>
      </c>
      <c r="D58" s="2">
        <v>2737872</v>
      </c>
      <c r="E58" s="2">
        <v>567300</v>
      </c>
      <c r="F58" s="2">
        <v>94788</v>
      </c>
      <c r="U58" s="2">
        <v>914.59</v>
      </c>
      <c r="V58" s="2">
        <v>9.13</v>
      </c>
      <c r="AF58" s="2">
        <v>954017.226</v>
      </c>
      <c r="AM58" s="2">
        <v>6.02</v>
      </c>
      <c r="AN58" s="2">
        <v>11715.23</v>
      </c>
      <c r="AO58" s="2">
        <v>40.01</v>
      </c>
      <c r="AP58" s="2">
        <v>364056.308</v>
      </c>
      <c r="AQ58" s="6">
        <v>8621.22</v>
      </c>
      <c r="AR58" s="2">
        <v>392.37</v>
      </c>
      <c r="AS58" s="2">
        <v>857304</v>
      </c>
      <c r="AU58" s="2">
        <v>450684.73</v>
      </c>
      <c r="AV58" s="2">
        <v>7305465.74</v>
      </c>
      <c r="AW58" s="2">
        <v>229853.05</v>
      </c>
      <c r="AY58" s="2">
        <v>365096.16</v>
      </c>
      <c r="AZ58" s="2">
        <v>7620907</v>
      </c>
      <c r="BE58" s="6">
        <v>21011.97</v>
      </c>
      <c r="BF58" s="6">
        <v>80230.28</v>
      </c>
      <c r="BG58" s="6">
        <v>490.016774</v>
      </c>
      <c r="BH58" s="2">
        <v>1.555</v>
      </c>
      <c r="BI58" s="6">
        <v>454.654638</v>
      </c>
      <c r="BJ58" s="2">
        <v>1.722</v>
      </c>
      <c r="BY58" s="2">
        <v>7828507</v>
      </c>
      <c r="BZ58" s="6">
        <v>7305466</v>
      </c>
      <c r="CA58" s="6">
        <v>523041</v>
      </c>
    </row>
    <row r="59" spans="1:79">
      <c r="A59" s="2">
        <v>20</v>
      </c>
      <c r="B59" s="2" t="s">
        <v>558</v>
      </c>
      <c r="C59" s="2">
        <v>2012</v>
      </c>
      <c r="D59" s="2">
        <v>128204</v>
      </c>
      <c r="R59" s="2">
        <v>936.1297</v>
      </c>
      <c r="U59" s="2">
        <v>553.8</v>
      </c>
      <c r="V59" s="2">
        <v>34.3</v>
      </c>
      <c r="AQ59" s="6"/>
      <c r="AS59" s="2">
        <v>158972.5</v>
      </c>
      <c r="AU59" s="6">
        <v>158082.2</v>
      </c>
      <c r="AZ59" s="2">
        <v>494746</v>
      </c>
      <c r="BB59" s="2">
        <v>4840220</v>
      </c>
      <c r="BE59" s="6"/>
      <c r="BF59" s="6"/>
      <c r="BG59" s="6"/>
      <c r="BI59" s="6"/>
      <c r="BZ59" s="6"/>
      <c r="CA59" s="6"/>
    </row>
    <row r="60" spans="3:79">
      <c r="C60" s="2">
        <v>2013</v>
      </c>
      <c r="D60" s="8">
        <v>118883.1</v>
      </c>
      <c r="R60" s="8">
        <v>464.9223</v>
      </c>
      <c r="U60" s="2">
        <v>527.5</v>
      </c>
      <c r="V60" s="2">
        <v>34.1</v>
      </c>
      <c r="AQ60" s="6"/>
      <c r="AS60" s="8">
        <v>158958.5</v>
      </c>
      <c r="AU60" s="6">
        <v>155445.5</v>
      </c>
      <c r="AZ60" s="2">
        <v>458967</v>
      </c>
      <c r="BB60" s="2">
        <v>4549480</v>
      </c>
      <c r="BE60" s="6"/>
      <c r="BF60" s="6"/>
      <c r="BG60" s="6"/>
      <c r="BI60" s="6"/>
      <c r="BZ60" s="6"/>
      <c r="CA60" s="6"/>
    </row>
    <row r="61" spans="3:79">
      <c r="C61" s="2">
        <v>2014</v>
      </c>
      <c r="D61" s="8">
        <v>103359.9</v>
      </c>
      <c r="R61" s="8">
        <v>292.7716</v>
      </c>
      <c r="U61" s="2">
        <v>625.3</v>
      </c>
      <c r="V61" s="2">
        <v>28.1</v>
      </c>
      <c r="AQ61" s="6"/>
      <c r="AS61" s="8">
        <v>158685.2</v>
      </c>
      <c r="AU61" s="8">
        <v>154305.5</v>
      </c>
      <c r="AZ61" s="10">
        <v>416312</v>
      </c>
      <c r="BA61" s="10"/>
      <c r="BB61" s="10">
        <v>4378635</v>
      </c>
      <c r="BE61" s="6"/>
      <c r="BF61" s="6"/>
      <c r="BG61" s="6"/>
      <c r="BI61" s="6"/>
      <c r="BZ61" s="6"/>
      <c r="CA61" s="6"/>
    </row>
    <row r="62" spans="3:54">
      <c r="C62" s="2">
        <v>2016</v>
      </c>
      <c r="D62" s="2">
        <v>94025.18</v>
      </c>
      <c r="R62" s="2">
        <v>253.6933</v>
      </c>
      <c r="U62" s="2">
        <v>689.12</v>
      </c>
      <c r="V62" s="2">
        <v>12.6</v>
      </c>
      <c r="AS62" s="2">
        <v>197438.407</v>
      </c>
      <c r="AU62" s="2">
        <v>103793</v>
      </c>
      <c r="AV62" s="2">
        <v>215278</v>
      </c>
      <c r="AZ62" s="2">
        <v>319071</v>
      </c>
      <c r="BB62" s="2">
        <v>4421230</v>
      </c>
    </row>
    <row r="63" spans="1:52">
      <c r="A63" s="2">
        <v>21</v>
      </c>
      <c r="B63" s="2" t="s">
        <v>559</v>
      </c>
      <c r="C63" s="2">
        <v>2013</v>
      </c>
      <c r="F63" s="2">
        <v>209.48</v>
      </c>
      <c r="AS63" s="2">
        <v>25208.982</v>
      </c>
      <c r="AU63" s="6">
        <v>13252.4</v>
      </c>
      <c r="AV63" s="6">
        <v>364.9</v>
      </c>
      <c r="AZ63" s="2">
        <v>13617</v>
      </c>
    </row>
    <row r="64" spans="2:52">
      <c r="B64" s="2" t="s">
        <v>560</v>
      </c>
      <c r="C64" s="2">
        <v>2014</v>
      </c>
      <c r="F64" s="2">
        <v>208.91</v>
      </c>
      <c r="AS64" s="2">
        <v>19233.254</v>
      </c>
      <c r="AU64" s="6">
        <v>10110.9</v>
      </c>
      <c r="AV64" s="6">
        <v>363.9</v>
      </c>
      <c r="AZ64" s="2">
        <v>10475</v>
      </c>
    </row>
    <row r="65" spans="3:52">
      <c r="C65" s="2">
        <v>2015</v>
      </c>
      <c r="AS65" s="2">
        <v>16768.15</v>
      </c>
      <c r="AU65" s="6">
        <v>8815</v>
      </c>
      <c r="AZ65" s="2">
        <v>8815</v>
      </c>
    </row>
    <row r="66" spans="1:88">
      <c r="A66" s="2">
        <v>22</v>
      </c>
      <c r="B66" s="2" t="s">
        <v>561</v>
      </c>
      <c r="C66" s="2">
        <v>2019</v>
      </c>
      <c r="S66" s="2">
        <v>1655.108</v>
      </c>
      <c r="AF66" s="2">
        <v>655093.07</v>
      </c>
      <c r="AJ66" s="2">
        <v>13632.87</v>
      </c>
      <c r="AR66" s="2">
        <v>1438.93</v>
      </c>
      <c r="AS66" s="2">
        <v>397757.577</v>
      </c>
      <c r="AU66" s="2">
        <v>209101.16</v>
      </c>
      <c r="AV66" s="2">
        <v>5133.04</v>
      </c>
      <c r="AW66" s="2">
        <v>12217.59</v>
      </c>
      <c r="AY66" s="2">
        <v>5155.12</v>
      </c>
      <c r="AZ66" s="2">
        <v>221297</v>
      </c>
      <c r="BG66" s="2">
        <v>59.2819</v>
      </c>
      <c r="BH66" s="2">
        <v>0.3733</v>
      </c>
      <c r="BI66" s="2">
        <v>57.5535</v>
      </c>
      <c r="BY66" s="2">
        <v>247805</v>
      </c>
      <c r="BZ66" s="2">
        <v>5133.04</v>
      </c>
      <c r="CA66" s="2">
        <v>242671.9</v>
      </c>
      <c r="CE66" s="2">
        <v>206630</v>
      </c>
      <c r="CF66" s="2">
        <v>38912</v>
      </c>
      <c r="CJ66" s="2">
        <v>2263</v>
      </c>
    </row>
    <row r="67" spans="1:63">
      <c r="A67" s="2">
        <v>23</v>
      </c>
      <c r="B67" s="2" t="s">
        <v>562</v>
      </c>
      <c r="C67" s="2">
        <v>2016</v>
      </c>
      <c r="E67" s="2">
        <v>2200</v>
      </c>
      <c r="R67" s="2">
        <v>241.88</v>
      </c>
      <c r="S67" s="2">
        <v>231.72</v>
      </c>
      <c r="T67" s="2">
        <v>79.55</v>
      </c>
      <c r="U67" s="2">
        <v>7204.59</v>
      </c>
      <c r="V67" s="2">
        <v>209.69</v>
      </c>
      <c r="AF67" s="2">
        <v>41125.81</v>
      </c>
      <c r="AI67" s="2">
        <v>63844.98</v>
      </c>
      <c r="AJ67" s="2">
        <v>799.694</v>
      </c>
      <c r="AM67" s="2">
        <v>650.71</v>
      </c>
      <c r="AN67" s="2">
        <v>924.66</v>
      </c>
      <c r="AS67" s="2">
        <v>391779.96</v>
      </c>
      <c r="AT67" s="2" t="s">
        <v>563</v>
      </c>
      <c r="AU67" s="6">
        <v>205958.34</v>
      </c>
      <c r="AV67" s="6">
        <v>33351.19</v>
      </c>
      <c r="AW67" s="6">
        <v>11267.84</v>
      </c>
      <c r="AX67" s="6">
        <v>58915.59</v>
      </c>
      <c r="AZ67" s="6">
        <v>309493</v>
      </c>
      <c r="BA67" s="6"/>
      <c r="BK67" s="2">
        <v>116570.5</v>
      </c>
    </row>
    <row r="68" spans="1:68">
      <c r="A68" s="2">
        <v>24</v>
      </c>
      <c r="B68" s="2" t="s">
        <v>564</v>
      </c>
      <c r="C68" s="2">
        <v>2016</v>
      </c>
      <c r="F68" s="2">
        <v>838</v>
      </c>
      <c r="AF68" s="6">
        <v>384319</v>
      </c>
      <c r="AJ68" s="6">
        <v>9162.1</v>
      </c>
      <c r="AR68" s="2">
        <v>749.33</v>
      </c>
      <c r="AS68" s="6">
        <v>229262.234</v>
      </c>
      <c r="AU68" s="2">
        <v>120523.16</v>
      </c>
      <c r="AV68" s="2">
        <v>1464.06</v>
      </c>
      <c r="AW68" s="2">
        <v>8839</v>
      </c>
      <c r="AY68" s="2">
        <v>5292.5</v>
      </c>
      <c r="AZ68" s="2">
        <v>125534</v>
      </c>
      <c r="BM68" s="2">
        <v>343669</v>
      </c>
      <c r="BP68" s="2">
        <v>333039</v>
      </c>
    </row>
    <row r="69" spans="1:79">
      <c r="A69" s="2">
        <v>25</v>
      </c>
      <c r="B69" s="2" t="s">
        <v>565</v>
      </c>
      <c r="C69" s="2">
        <v>2016</v>
      </c>
      <c r="F69" s="2">
        <v>7267.8</v>
      </c>
      <c r="U69" s="2">
        <v>2.06</v>
      </c>
      <c r="AI69" s="2">
        <v>415107</v>
      </c>
      <c r="AQ69" s="2">
        <v>26606</v>
      </c>
      <c r="AR69" s="2">
        <v>81.72</v>
      </c>
      <c r="AS69" s="2">
        <v>259093.544</v>
      </c>
      <c r="AU69" s="6">
        <v>136205.48</v>
      </c>
      <c r="AV69" s="6">
        <v>12703.87</v>
      </c>
      <c r="AW69" s="6">
        <v>83404.38</v>
      </c>
      <c r="AY69" s="6">
        <v>5851.91</v>
      </c>
      <c r="AZ69" s="2">
        <v>226462</v>
      </c>
      <c r="BG69" s="2">
        <v>37.9994</v>
      </c>
      <c r="BI69" s="2">
        <v>36.8595</v>
      </c>
      <c r="BY69" s="2">
        <v>148909</v>
      </c>
      <c r="BZ69" s="2">
        <v>12703.87</v>
      </c>
      <c r="CA69" s="2">
        <v>136205.48</v>
      </c>
    </row>
    <row r="70" spans="1:53">
      <c r="A70" s="2">
        <v>26</v>
      </c>
      <c r="B70" s="2" t="s">
        <v>566</v>
      </c>
      <c r="C70" s="2">
        <v>2012</v>
      </c>
      <c r="R70" s="17">
        <v>376.8591</v>
      </c>
      <c r="AS70" s="2">
        <v>5781.7</v>
      </c>
      <c r="AU70" s="6">
        <v>5749.3</v>
      </c>
      <c r="AZ70" s="2">
        <v>107977</v>
      </c>
      <c r="BA70" s="2">
        <v>31596</v>
      </c>
    </row>
    <row r="71" spans="3:53">
      <c r="C71" s="2">
        <v>2013</v>
      </c>
      <c r="R71" s="9">
        <v>328.2369</v>
      </c>
      <c r="AS71" s="2">
        <v>7233.7</v>
      </c>
      <c r="AU71" s="2">
        <v>7073.8</v>
      </c>
      <c r="AZ71" s="2">
        <v>225645</v>
      </c>
      <c r="BA71" s="2">
        <v>26904</v>
      </c>
    </row>
    <row r="72" spans="3:52">
      <c r="C72" s="2">
        <v>2014</v>
      </c>
      <c r="AS72" s="2">
        <v>1389.7</v>
      </c>
      <c r="AU72" s="2">
        <v>1351.4</v>
      </c>
      <c r="AZ72" s="2">
        <v>19225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7"/>
  <sheetViews>
    <sheetView workbookViewId="0">
      <selection activeCell="J25" sqref="J25"/>
    </sheetView>
  </sheetViews>
  <sheetFormatPr defaultColWidth="9" defaultRowHeight="14" outlineLevelCol="1"/>
  <cols>
    <col min="1" max="1" width="10.4416666666667" customWidth="1"/>
  </cols>
  <sheetData>
    <row r="1" spans="1:2">
      <c r="A1" s="1" t="s">
        <v>567</v>
      </c>
      <c r="B1" s="1" t="s">
        <v>568</v>
      </c>
    </row>
    <row r="2" spans="1:2">
      <c r="A2" s="1">
        <v>404640</v>
      </c>
      <c r="B2" s="1">
        <v>1744201.90829083</v>
      </c>
    </row>
    <row r="3" spans="1:2">
      <c r="A3" s="1">
        <v>526838</v>
      </c>
      <c r="B3" s="1">
        <v>1861777.01467738</v>
      </c>
    </row>
    <row r="4" spans="1:2">
      <c r="A4" s="1">
        <v>309563</v>
      </c>
      <c r="B4" s="1">
        <v>1215428.14686886</v>
      </c>
    </row>
    <row r="5" spans="1:2">
      <c r="A5" s="1">
        <v>409356</v>
      </c>
      <c r="B5" s="1">
        <v>1421369.27384663</v>
      </c>
    </row>
    <row r="6" spans="1:2">
      <c r="A6" s="1">
        <v>532006</v>
      </c>
      <c r="B6" s="1">
        <v>1591718.28919571</v>
      </c>
    </row>
    <row r="7" spans="1:2">
      <c r="A7" s="1">
        <v>278805</v>
      </c>
      <c r="B7" s="1">
        <v>907117.641603889</v>
      </c>
    </row>
    <row r="8" spans="1:2">
      <c r="A8" s="1">
        <v>136789</v>
      </c>
      <c r="B8" s="1">
        <v>414854.809416697</v>
      </c>
    </row>
    <row r="9" spans="1:2">
      <c r="A9" s="1">
        <v>373449</v>
      </c>
      <c r="B9" s="1">
        <v>1559058.23996505</v>
      </c>
    </row>
    <row r="10" spans="1:2">
      <c r="A10" s="1">
        <v>263792</v>
      </c>
      <c r="B10" s="1">
        <v>1029981.69162148</v>
      </c>
    </row>
    <row r="11" spans="1:2">
      <c r="A11" s="1">
        <v>526616</v>
      </c>
      <c r="B11" s="1">
        <v>1589555.76455727</v>
      </c>
    </row>
    <row r="12" spans="1:2">
      <c r="A12" s="1">
        <v>170770</v>
      </c>
      <c r="B12" s="1">
        <v>684565.187685938</v>
      </c>
    </row>
    <row r="13" spans="1:2">
      <c r="A13" s="1">
        <v>482315</v>
      </c>
      <c r="B13" s="1">
        <v>1473550.37685023</v>
      </c>
    </row>
    <row r="14" spans="1:2">
      <c r="A14" s="1">
        <v>431325</v>
      </c>
      <c r="B14" s="1">
        <v>1182494.18468087</v>
      </c>
    </row>
    <row r="15" spans="1:2">
      <c r="A15" s="1">
        <v>170771</v>
      </c>
      <c r="B15" s="1">
        <v>606450.087690259</v>
      </c>
    </row>
    <row r="16" spans="1:2">
      <c r="A16" s="1">
        <v>456770</v>
      </c>
      <c r="B16" s="1">
        <v>1888007.16391296</v>
      </c>
    </row>
    <row r="17" spans="1:2">
      <c r="A17" s="1">
        <v>369620</v>
      </c>
      <c r="B17" s="1">
        <v>1192042.38715189</v>
      </c>
    </row>
    <row r="18" spans="1:2">
      <c r="A18" s="1">
        <v>426752</v>
      </c>
      <c r="B18" s="1">
        <v>1441353.8004083</v>
      </c>
    </row>
    <row r="19" spans="1:2">
      <c r="A19" s="1">
        <v>449944</v>
      </c>
      <c r="B19" s="1">
        <v>1477731.54065785</v>
      </c>
    </row>
    <row r="20" spans="1:2">
      <c r="A20" s="1">
        <v>488033</v>
      </c>
      <c r="B20" s="1">
        <v>1892879.58987238</v>
      </c>
    </row>
    <row r="21" spans="1:2">
      <c r="A21" s="1">
        <v>175357</v>
      </c>
      <c r="B21" s="1">
        <v>719086.027279142</v>
      </c>
    </row>
    <row r="22" spans="1:2">
      <c r="A22" s="1">
        <v>219462</v>
      </c>
      <c r="B22" s="1">
        <v>707468.408598829</v>
      </c>
    </row>
    <row r="23" spans="1:2">
      <c r="A23" s="1">
        <v>282148</v>
      </c>
      <c r="B23" s="1">
        <v>876244.891712022</v>
      </c>
    </row>
    <row r="24" spans="1:2">
      <c r="A24" s="1">
        <v>215502</v>
      </c>
      <c r="B24" s="1">
        <v>630891.76568858</v>
      </c>
    </row>
    <row r="25" spans="1:2">
      <c r="A25" s="1">
        <v>411340</v>
      </c>
      <c r="B25" s="1">
        <v>1688334.20655835</v>
      </c>
    </row>
    <row r="26" spans="1:2">
      <c r="A26" s="1">
        <v>438832</v>
      </c>
      <c r="B26" s="1">
        <v>1407526.02856006</v>
      </c>
    </row>
    <row r="27" spans="1:2">
      <c r="A27" s="1">
        <v>388701</v>
      </c>
      <c r="B27" s="1">
        <v>1580606.94875387</v>
      </c>
    </row>
    <row r="28" spans="1:2">
      <c r="A28" s="1">
        <v>536479</v>
      </c>
      <c r="B28" s="1">
        <v>1424097.24233214</v>
      </c>
    </row>
    <row r="29" spans="1:2">
      <c r="A29" s="1">
        <v>406026</v>
      </c>
      <c r="B29" s="1">
        <v>1369607.98826015</v>
      </c>
    </row>
    <row r="30" spans="1:2">
      <c r="A30" s="1">
        <v>417908</v>
      </c>
      <c r="B30" s="1">
        <v>1566214.55487215</v>
      </c>
    </row>
    <row r="31" spans="1:2">
      <c r="A31" s="1">
        <v>417785</v>
      </c>
      <c r="B31" s="1">
        <v>1482839.18993513</v>
      </c>
    </row>
    <row r="32" spans="1:2">
      <c r="A32" s="1">
        <v>338373</v>
      </c>
      <c r="B32" s="1">
        <v>1224794.31397855</v>
      </c>
    </row>
    <row r="33" spans="1:2">
      <c r="A33" s="1">
        <v>361980</v>
      </c>
      <c r="B33" s="1">
        <v>1116839.20596502</v>
      </c>
    </row>
    <row r="34" spans="1:2">
      <c r="A34" s="1">
        <v>505300</v>
      </c>
      <c r="B34" s="1">
        <v>1428154.1626691</v>
      </c>
    </row>
    <row r="35" spans="1:2">
      <c r="A35" s="1">
        <v>367311</v>
      </c>
      <c r="B35" s="1">
        <v>1096383.81069987</v>
      </c>
    </row>
    <row r="36" spans="1:2">
      <c r="A36" s="1">
        <v>88691</v>
      </c>
      <c r="B36" s="1">
        <v>242239.487663521</v>
      </c>
    </row>
    <row r="37" spans="1:2">
      <c r="A37" s="1">
        <v>100665</v>
      </c>
      <c r="B37" s="1">
        <v>336859.227466078</v>
      </c>
    </row>
    <row r="38" spans="1:2">
      <c r="A38" s="1">
        <v>31863</v>
      </c>
      <c r="B38" s="1">
        <v>125784.786352617</v>
      </c>
    </row>
    <row r="39" spans="1:2">
      <c r="A39" s="1">
        <v>478939</v>
      </c>
      <c r="B39" s="1">
        <v>1980828.42089492</v>
      </c>
    </row>
    <row r="40" spans="1:2">
      <c r="A40" s="1">
        <v>526366</v>
      </c>
      <c r="B40" s="1">
        <v>1626235.88279399</v>
      </c>
    </row>
    <row r="41" spans="1:2">
      <c r="A41" s="1">
        <v>328720</v>
      </c>
      <c r="B41" s="1">
        <v>1198756.31808861</v>
      </c>
    </row>
    <row r="42" spans="1:2">
      <c r="A42" s="1">
        <v>360241</v>
      </c>
      <c r="B42" s="1">
        <v>1314790.21554593</v>
      </c>
    </row>
    <row r="43" spans="1:2">
      <c r="A43" s="1">
        <v>456220</v>
      </c>
      <c r="B43" s="1">
        <v>1584361.64809869</v>
      </c>
    </row>
    <row r="44" spans="1:2">
      <c r="A44" s="1">
        <v>361899</v>
      </c>
      <c r="B44" s="1">
        <v>1304580.85230442</v>
      </c>
    </row>
    <row r="45" spans="1:2">
      <c r="A45" s="1">
        <v>319526</v>
      </c>
      <c r="B45" s="1">
        <v>951499.402276721</v>
      </c>
    </row>
    <row r="46" spans="1:2">
      <c r="A46" s="1">
        <v>290717</v>
      </c>
      <c r="B46" s="1">
        <v>1128313.91750119</v>
      </c>
    </row>
    <row r="47" spans="1:2">
      <c r="A47" s="1">
        <v>394383</v>
      </c>
      <c r="B47" s="1">
        <v>1044323.72074775</v>
      </c>
    </row>
    <row r="48" spans="1:2">
      <c r="A48" s="1">
        <v>413732</v>
      </c>
      <c r="B48" s="1">
        <v>1742218.29417171</v>
      </c>
    </row>
    <row r="49" spans="1:2">
      <c r="A49" s="1">
        <v>388491</v>
      </c>
      <c r="B49" s="1">
        <v>1144899.58362943</v>
      </c>
    </row>
    <row r="50" spans="1:2">
      <c r="A50" s="1">
        <v>456206</v>
      </c>
      <c r="B50" s="1">
        <v>1927935.19039936</v>
      </c>
    </row>
    <row r="51" spans="1:2">
      <c r="A51" s="1">
        <v>405059</v>
      </c>
      <c r="B51" s="1">
        <v>1160247.66107172</v>
      </c>
    </row>
    <row r="52" spans="1:2">
      <c r="A52" s="1">
        <v>178821</v>
      </c>
      <c r="B52" s="1">
        <v>736795.330888551</v>
      </c>
    </row>
    <row r="53" spans="1:2">
      <c r="A53" s="1">
        <v>276898</v>
      </c>
      <c r="B53" s="1">
        <v>1131062.65723935</v>
      </c>
    </row>
    <row r="54" spans="1:2">
      <c r="A54" s="1">
        <v>355140</v>
      </c>
      <c r="B54" s="1">
        <v>1044786.11889474</v>
      </c>
    </row>
    <row r="55" spans="1:2">
      <c r="A55" s="1">
        <v>514330</v>
      </c>
      <c r="B55" s="1">
        <v>1654986.16606594</v>
      </c>
    </row>
    <row r="56" spans="1:2">
      <c r="A56" s="1">
        <v>430587</v>
      </c>
      <c r="B56" s="1">
        <v>1760520.20676611</v>
      </c>
    </row>
    <row r="57" spans="1:2">
      <c r="A57" s="1">
        <v>447299</v>
      </c>
      <c r="B57" s="1">
        <v>1350660.47841167</v>
      </c>
    </row>
    <row r="58" spans="1:2">
      <c r="A58" s="1">
        <v>503464</v>
      </c>
      <c r="B58" s="1">
        <v>1373605.98381852</v>
      </c>
    </row>
    <row r="59" spans="1:2">
      <c r="A59" s="1">
        <v>399035</v>
      </c>
      <c r="B59" s="1">
        <v>1305988.00151252</v>
      </c>
    </row>
    <row r="60" spans="1:2">
      <c r="A60" s="1">
        <v>360617</v>
      </c>
      <c r="B60" s="1">
        <v>1328873.51375875</v>
      </c>
    </row>
    <row r="61" spans="1:2">
      <c r="A61" s="1">
        <v>393849</v>
      </c>
      <c r="B61" s="1">
        <v>1211095.80748289</v>
      </c>
    </row>
    <row r="62" spans="1:2">
      <c r="A62" s="1">
        <v>81794</v>
      </c>
      <c r="B62" s="1">
        <v>307206.704869118</v>
      </c>
    </row>
    <row r="63" spans="1:2">
      <c r="A63" s="1">
        <v>374641</v>
      </c>
      <c r="B63" s="1">
        <v>1557244.90508213</v>
      </c>
    </row>
    <row r="64" spans="1:2">
      <c r="A64" s="1">
        <v>310131</v>
      </c>
      <c r="B64" s="1">
        <v>867958.363413622</v>
      </c>
    </row>
    <row r="65" spans="1:2">
      <c r="A65" s="1">
        <v>63866</v>
      </c>
      <c r="B65" s="1">
        <v>266894.380255283</v>
      </c>
    </row>
    <row r="66" spans="1:2">
      <c r="A66" s="1">
        <v>404247</v>
      </c>
      <c r="B66" s="1">
        <v>1661943.74475514</v>
      </c>
    </row>
    <row r="67" spans="1:2">
      <c r="A67" s="1">
        <v>447023</v>
      </c>
      <c r="B67" s="1">
        <v>1538540.12291292</v>
      </c>
    </row>
    <row r="68" spans="1:2">
      <c r="A68" s="1">
        <v>295982</v>
      </c>
      <c r="B68" s="1">
        <v>1022459.19351985</v>
      </c>
    </row>
    <row r="69" spans="1:2">
      <c r="A69" s="1">
        <v>298495</v>
      </c>
      <c r="B69" s="1">
        <v>1148302.26001918</v>
      </c>
    </row>
    <row r="70" spans="1:2">
      <c r="A70" s="1">
        <v>407516</v>
      </c>
      <c r="B70" s="1">
        <v>1287948.28213723</v>
      </c>
    </row>
    <row r="71" spans="1:2">
      <c r="A71" s="1">
        <v>515501</v>
      </c>
      <c r="B71" s="1">
        <v>1930740.90061119</v>
      </c>
    </row>
    <row r="72" spans="1:2">
      <c r="A72" s="1">
        <v>348873</v>
      </c>
      <c r="B72" s="1">
        <v>1489307.03832679</v>
      </c>
    </row>
    <row r="73" spans="1:2">
      <c r="A73" s="1">
        <v>509370</v>
      </c>
      <c r="B73" s="1">
        <v>1872033.32619708</v>
      </c>
    </row>
    <row r="74" spans="1:2">
      <c r="A74" s="1">
        <v>339378</v>
      </c>
      <c r="B74" s="1">
        <v>1245302.43661553</v>
      </c>
    </row>
    <row r="75" spans="1:2">
      <c r="A75" s="1">
        <v>187166</v>
      </c>
      <c r="B75" s="1">
        <v>530685.767300713</v>
      </c>
    </row>
    <row r="76" spans="1:2">
      <c r="A76" s="1">
        <v>443476</v>
      </c>
      <c r="B76" s="1">
        <v>1382268.28832717</v>
      </c>
    </row>
    <row r="77" spans="1:2">
      <c r="A77" s="1">
        <v>443224</v>
      </c>
      <c r="B77" s="1">
        <v>1735068.05009077</v>
      </c>
    </row>
    <row r="78" spans="1:2">
      <c r="A78" s="1">
        <v>393661</v>
      </c>
      <c r="B78" s="1">
        <v>1542628.6951329</v>
      </c>
    </row>
    <row r="79" spans="1:2">
      <c r="A79" s="1">
        <v>370924</v>
      </c>
      <c r="B79" s="1">
        <v>1475990.35456203</v>
      </c>
    </row>
    <row r="80" spans="1:2">
      <c r="A80" s="1">
        <v>462443</v>
      </c>
      <c r="B80" s="1">
        <v>1378233.10839792</v>
      </c>
    </row>
    <row r="81" spans="1:2">
      <c r="A81" s="1">
        <v>395864</v>
      </c>
      <c r="B81" s="1">
        <v>1284063.43372985</v>
      </c>
    </row>
    <row r="82" spans="1:2">
      <c r="A82" s="1">
        <v>528900</v>
      </c>
      <c r="B82" s="1">
        <v>1523241.8737358</v>
      </c>
    </row>
    <row r="83" spans="1:2">
      <c r="A83" s="1">
        <v>352029</v>
      </c>
      <c r="B83" s="1">
        <v>1031054.99726988</v>
      </c>
    </row>
    <row r="84" spans="1:2">
      <c r="A84" s="1">
        <v>333996</v>
      </c>
      <c r="B84" s="1">
        <v>1311750.68383458</v>
      </c>
    </row>
    <row r="85" spans="1:2">
      <c r="A85" s="1">
        <v>305722</v>
      </c>
      <c r="B85" s="1">
        <v>875572.617173688</v>
      </c>
    </row>
    <row r="86" spans="1:2">
      <c r="A86" s="1">
        <v>474338</v>
      </c>
      <c r="B86" s="1">
        <v>1973089.70334371</v>
      </c>
    </row>
    <row r="87" spans="1:2">
      <c r="A87" s="1">
        <v>513550</v>
      </c>
      <c r="B87" s="1">
        <v>1470699.15301684</v>
      </c>
    </row>
    <row r="88" spans="1:2">
      <c r="A88" s="1">
        <v>392654</v>
      </c>
      <c r="B88" s="1">
        <v>1522489.46139052</v>
      </c>
    </row>
    <row r="89" spans="1:2">
      <c r="A89" s="1">
        <v>137792</v>
      </c>
      <c r="B89" s="1">
        <v>481216.323448591</v>
      </c>
    </row>
    <row r="90" spans="1:2">
      <c r="A90" s="1">
        <v>157625</v>
      </c>
      <c r="B90" s="1">
        <v>609072.52570037</v>
      </c>
    </row>
    <row r="91" spans="1:2">
      <c r="A91" s="1">
        <v>327159</v>
      </c>
      <c r="B91" s="1">
        <v>1419319.68436557</v>
      </c>
    </row>
    <row r="92" spans="1:2">
      <c r="A92" s="1">
        <v>437652</v>
      </c>
      <c r="B92" s="1">
        <v>1913177.8609069</v>
      </c>
    </row>
    <row r="93" spans="1:2">
      <c r="A93" s="1">
        <v>249208</v>
      </c>
      <c r="B93" s="1">
        <v>1018563.82473934</v>
      </c>
    </row>
    <row r="94" spans="1:2">
      <c r="A94" s="1">
        <v>533918</v>
      </c>
      <c r="B94" s="1">
        <v>1864303.13572055</v>
      </c>
    </row>
    <row r="95" spans="1:2">
      <c r="A95" s="1">
        <v>214523</v>
      </c>
      <c r="B95" s="1">
        <v>754396.276805404</v>
      </c>
    </row>
    <row r="96" spans="1:2">
      <c r="A96" s="1">
        <v>501348</v>
      </c>
      <c r="B96" s="1">
        <v>1750609.79958318</v>
      </c>
    </row>
    <row r="97" spans="1:2">
      <c r="A97" s="1">
        <v>512467</v>
      </c>
      <c r="B97" s="1">
        <v>1645780.99260977</v>
      </c>
    </row>
    <row r="98" spans="1:2">
      <c r="A98" s="1">
        <v>402799</v>
      </c>
      <c r="B98" s="1">
        <v>1341816.19292265</v>
      </c>
    </row>
    <row r="99" spans="1:2">
      <c r="A99" s="1">
        <v>519123</v>
      </c>
      <c r="B99" s="1">
        <v>1875884.43864648</v>
      </c>
    </row>
    <row r="100" spans="1:2">
      <c r="A100" s="1">
        <v>329264</v>
      </c>
      <c r="B100" s="1">
        <v>1005108.08692595</v>
      </c>
    </row>
    <row r="101" spans="1:2">
      <c r="A101" s="1">
        <v>173994</v>
      </c>
      <c r="B101" s="1">
        <v>542135.719361806</v>
      </c>
    </row>
    <row r="102" spans="1:2">
      <c r="A102" s="1">
        <v>538075</v>
      </c>
      <c r="B102" s="1">
        <v>1988706.41493763</v>
      </c>
    </row>
    <row r="103" spans="1:2">
      <c r="A103" s="1">
        <v>424164</v>
      </c>
      <c r="B103" s="1">
        <v>1497687.28244267</v>
      </c>
    </row>
    <row r="104" spans="1:2">
      <c r="A104" s="1">
        <v>298503</v>
      </c>
      <c r="B104" s="1">
        <v>1291439.87707104</v>
      </c>
    </row>
    <row r="105" spans="1:2">
      <c r="A105" s="1">
        <v>451542</v>
      </c>
      <c r="B105" s="1">
        <v>1497464.44273333</v>
      </c>
    </row>
    <row r="106" spans="1:2">
      <c r="A106" s="1">
        <v>402829</v>
      </c>
      <c r="B106" s="1">
        <v>1479176.57377387</v>
      </c>
    </row>
    <row r="107" spans="1:2">
      <c r="A107" s="1">
        <v>267574</v>
      </c>
      <c r="B107" s="1">
        <v>1006883.04898503</v>
      </c>
    </row>
    <row r="108" spans="1:2">
      <c r="A108" s="1">
        <v>375188</v>
      </c>
      <c r="B108" s="1">
        <v>1082422.12610657</v>
      </c>
    </row>
    <row r="109" spans="1:2">
      <c r="A109" s="1">
        <v>475242</v>
      </c>
      <c r="B109" s="1">
        <v>1654795.64638231</v>
      </c>
    </row>
    <row r="110" spans="1:2">
      <c r="A110" s="1">
        <v>450990</v>
      </c>
      <c r="B110" s="1">
        <v>1427207.84497699</v>
      </c>
    </row>
    <row r="111" spans="1:2">
      <c r="A111" s="1">
        <v>520659</v>
      </c>
      <c r="B111" s="1">
        <v>1404691.38579641</v>
      </c>
    </row>
    <row r="112" spans="1:2">
      <c r="A112" s="1">
        <v>134356</v>
      </c>
      <c r="B112" s="1">
        <v>533747.863712204</v>
      </c>
    </row>
    <row r="113" spans="1:2">
      <c r="A113" s="1">
        <v>399655</v>
      </c>
      <c r="B113" s="1">
        <v>1256608.11708249</v>
      </c>
    </row>
    <row r="114" spans="1:2">
      <c r="A114" s="1">
        <v>416090</v>
      </c>
      <c r="B114" s="1">
        <v>1283889.83264437</v>
      </c>
    </row>
    <row r="115" spans="1:2">
      <c r="A115" s="1">
        <v>279164</v>
      </c>
      <c r="B115" s="1">
        <v>1010325.90828719</v>
      </c>
    </row>
    <row r="116" spans="1:2">
      <c r="A116" s="1">
        <v>471690</v>
      </c>
      <c r="B116" s="1">
        <v>1752589.80755822</v>
      </c>
    </row>
    <row r="117" spans="1:2">
      <c r="A117" s="1">
        <v>353881</v>
      </c>
      <c r="B117" s="1">
        <v>1046396.60393853</v>
      </c>
    </row>
    <row r="118" spans="1:2">
      <c r="A118" s="1">
        <v>493479</v>
      </c>
      <c r="B118" s="1">
        <v>2080295.15693868</v>
      </c>
    </row>
    <row r="119" spans="1:2">
      <c r="A119" s="1">
        <v>449578</v>
      </c>
      <c r="B119" s="1">
        <v>1541129.17835624</v>
      </c>
    </row>
    <row r="120" spans="1:2">
      <c r="A120" s="1">
        <v>223694</v>
      </c>
      <c r="B120" s="1">
        <v>757925.2174588</v>
      </c>
    </row>
    <row r="121" spans="1:2">
      <c r="A121" s="1">
        <v>483184</v>
      </c>
      <c r="B121" s="1">
        <v>1294457.90939744</v>
      </c>
    </row>
    <row r="122" spans="1:2">
      <c r="A122" s="1">
        <v>446865</v>
      </c>
      <c r="B122" s="1">
        <v>1434501.33438446</v>
      </c>
    </row>
    <row r="123" spans="1:2">
      <c r="A123" s="1">
        <v>431052</v>
      </c>
      <c r="B123" s="1">
        <v>1871715.41161656</v>
      </c>
    </row>
    <row r="124" spans="1:2">
      <c r="A124" s="1">
        <v>238060</v>
      </c>
      <c r="B124" s="1">
        <v>714604.302245459</v>
      </c>
    </row>
    <row r="125" spans="1:2">
      <c r="A125" s="1">
        <v>507675</v>
      </c>
      <c r="B125" s="1">
        <v>1397731.91635085</v>
      </c>
    </row>
    <row r="126" spans="1:2">
      <c r="A126" s="1">
        <v>500672</v>
      </c>
      <c r="B126" s="1">
        <v>1936533.36144637</v>
      </c>
    </row>
    <row r="127" spans="1:2">
      <c r="A127" s="1">
        <v>269445</v>
      </c>
      <c r="B127" s="1">
        <v>915754.507213422</v>
      </c>
    </row>
    <row r="128" spans="1:2">
      <c r="A128" s="1">
        <v>428522</v>
      </c>
      <c r="B128" s="1">
        <v>1663875.2866658</v>
      </c>
    </row>
    <row r="129" spans="1:2">
      <c r="A129" s="1">
        <v>288158</v>
      </c>
      <c r="B129" s="1">
        <v>798245.692808046</v>
      </c>
    </row>
    <row r="130" spans="1:2">
      <c r="A130" s="1">
        <v>415051</v>
      </c>
      <c r="B130" s="1">
        <v>1428993.71325945</v>
      </c>
    </row>
    <row r="131" spans="1:2">
      <c r="A131" s="1">
        <v>488527</v>
      </c>
      <c r="B131" s="1">
        <v>1482026.40206256</v>
      </c>
    </row>
    <row r="132" spans="1:2">
      <c r="A132" s="1">
        <v>84463</v>
      </c>
      <c r="B132" s="1">
        <v>307379.477217383</v>
      </c>
    </row>
    <row r="133" spans="1:2">
      <c r="A133" s="1">
        <v>459457</v>
      </c>
      <c r="B133" s="1">
        <v>1910662.18656272</v>
      </c>
    </row>
    <row r="134" spans="1:2">
      <c r="A134" s="1">
        <v>338383</v>
      </c>
      <c r="B134" s="1">
        <v>1360321.59980346</v>
      </c>
    </row>
    <row r="135" spans="1:2">
      <c r="A135" s="1">
        <v>334100</v>
      </c>
      <c r="B135" s="1">
        <v>1268377.55872026</v>
      </c>
    </row>
    <row r="136" spans="1:2">
      <c r="A136" s="1">
        <v>539197</v>
      </c>
      <c r="B136" s="1">
        <v>1605773.56478762</v>
      </c>
    </row>
    <row r="137" spans="1:2">
      <c r="A137" s="1">
        <v>330823</v>
      </c>
      <c r="B137" s="1">
        <v>1373139.42083626</v>
      </c>
    </row>
    <row r="138" spans="1:2">
      <c r="A138" s="1">
        <v>217955</v>
      </c>
      <c r="B138" s="1">
        <v>685070.724158012</v>
      </c>
    </row>
    <row r="139" spans="1:2">
      <c r="A139" s="1">
        <v>499379</v>
      </c>
      <c r="B139" s="1">
        <v>1754626.98061921</v>
      </c>
    </row>
    <row r="140" spans="1:2">
      <c r="A140" s="1">
        <v>520913</v>
      </c>
      <c r="B140" s="1">
        <v>1895906.31880879</v>
      </c>
    </row>
    <row r="141" spans="1:2">
      <c r="A141" s="1">
        <v>404675</v>
      </c>
      <c r="B141" s="1">
        <v>1173902.32261051</v>
      </c>
    </row>
    <row r="142" spans="1:2">
      <c r="A142" s="1">
        <v>310418</v>
      </c>
      <c r="B142" s="1">
        <v>1182212.13606755</v>
      </c>
    </row>
    <row r="143" spans="1:2">
      <c r="A143" s="1">
        <v>477608</v>
      </c>
      <c r="B143" s="1">
        <v>1501600.45119732</v>
      </c>
    </row>
    <row r="144" spans="1:2">
      <c r="A144" s="1">
        <v>225666</v>
      </c>
      <c r="B144" s="1">
        <v>810336.559694526</v>
      </c>
    </row>
    <row r="145" spans="1:2">
      <c r="A145" s="1">
        <v>484400</v>
      </c>
      <c r="B145" s="1">
        <v>1419603.79095459</v>
      </c>
    </row>
    <row r="146" spans="1:2">
      <c r="A146" s="1">
        <v>447820</v>
      </c>
      <c r="B146" s="1">
        <v>1464406.41494292</v>
      </c>
    </row>
    <row r="147" spans="1:2">
      <c r="A147" s="1">
        <v>487311</v>
      </c>
      <c r="B147" s="1">
        <v>2002050.36772848</v>
      </c>
    </row>
    <row r="148" spans="1:2">
      <c r="A148" s="1">
        <v>507537</v>
      </c>
      <c r="B148" s="1">
        <v>1906478.40983616</v>
      </c>
    </row>
    <row r="149" spans="1:2">
      <c r="A149" s="1">
        <v>528697</v>
      </c>
      <c r="B149" s="1">
        <v>1597570.63456211</v>
      </c>
    </row>
    <row r="150" spans="1:2">
      <c r="A150" s="1">
        <v>342327</v>
      </c>
      <c r="B150" s="1">
        <v>1173876.1421009</v>
      </c>
    </row>
    <row r="151" spans="1:2">
      <c r="A151" s="1">
        <v>490699</v>
      </c>
      <c r="B151" s="1">
        <v>1887085.32361462</v>
      </c>
    </row>
    <row r="152" spans="1:2">
      <c r="A152" s="1">
        <v>353447</v>
      </c>
      <c r="B152" s="1">
        <v>1006492.21390332</v>
      </c>
    </row>
    <row r="153" spans="1:2">
      <c r="A153" s="1">
        <v>341229</v>
      </c>
      <c r="B153" s="1">
        <v>989622.875701543</v>
      </c>
    </row>
    <row r="154" spans="1:2">
      <c r="A154" s="1">
        <v>435058</v>
      </c>
      <c r="B154" s="1">
        <v>1455932.19538101</v>
      </c>
    </row>
    <row r="155" spans="1:2">
      <c r="A155" s="1">
        <v>522761</v>
      </c>
      <c r="B155" s="1">
        <v>2141311.99905163</v>
      </c>
    </row>
    <row r="156" spans="1:2">
      <c r="A156" s="1">
        <v>314824</v>
      </c>
      <c r="B156" s="1">
        <v>1271516.83339862</v>
      </c>
    </row>
    <row r="157" spans="1:2">
      <c r="A157" s="1">
        <v>505049</v>
      </c>
      <c r="B157" s="1">
        <v>1391492.05697769</v>
      </c>
    </row>
    <row r="158" spans="1:2">
      <c r="A158" s="1">
        <v>435856</v>
      </c>
      <c r="B158" s="1">
        <v>1437458.28082188</v>
      </c>
    </row>
    <row r="159" spans="1:2">
      <c r="A159" s="1">
        <v>246992</v>
      </c>
      <c r="B159" s="1">
        <v>846880.025811913</v>
      </c>
    </row>
    <row r="160" spans="1:2">
      <c r="A160" s="1">
        <v>481923</v>
      </c>
      <c r="B160" s="1">
        <v>1374894.47093328</v>
      </c>
    </row>
    <row r="161" spans="1:2">
      <c r="A161" s="1">
        <v>476844</v>
      </c>
      <c r="B161" s="1">
        <v>1722083.35183338</v>
      </c>
    </row>
    <row r="162" spans="1:2">
      <c r="A162" s="1">
        <v>313914</v>
      </c>
      <c r="B162" s="1">
        <v>1053185.08863756</v>
      </c>
    </row>
    <row r="163" spans="1:2">
      <c r="A163" s="1">
        <v>397905</v>
      </c>
      <c r="B163" s="1">
        <v>1455486.81917387</v>
      </c>
    </row>
    <row r="164" spans="1:2">
      <c r="A164" s="1">
        <v>389530</v>
      </c>
      <c r="B164" s="1">
        <v>1417297.30338087</v>
      </c>
    </row>
    <row r="165" spans="1:2">
      <c r="A165" s="1">
        <v>380284</v>
      </c>
      <c r="B165" s="1">
        <v>1503185.93984091</v>
      </c>
    </row>
    <row r="166" spans="1:2">
      <c r="A166" s="1">
        <v>455818</v>
      </c>
      <c r="B166" s="1">
        <v>1403047.89853003</v>
      </c>
    </row>
    <row r="167" spans="1:2">
      <c r="A167" s="1">
        <v>197730</v>
      </c>
      <c r="B167" s="1">
        <v>723321.507424135</v>
      </c>
    </row>
    <row r="168" spans="1:2">
      <c r="A168" s="1">
        <v>509266</v>
      </c>
      <c r="B168" s="1">
        <v>1983044.05373789</v>
      </c>
    </row>
    <row r="169" spans="1:2">
      <c r="A169" s="1">
        <v>371868</v>
      </c>
      <c r="B169" s="1">
        <v>1290967.38974323</v>
      </c>
    </row>
    <row r="170" spans="1:2">
      <c r="A170" s="1">
        <v>392848</v>
      </c>
      <c r="B170" s="1">
        <v>1532146.28292837</v>
      </c>
    </row>
    <row r="171" spans="1:2">
      <c r="A171" s="1">
        <v>355868</v>
      </c>
      <c r="B171" s="1">
        <v>1012955.21819057</v>
      </c>
    </row>
    <row r="172" spans="1:2">
      <c r="A172" s="1">
        <v>394630</v>
      </c>
      <c r="B172" s="1">
        <v>1120674.16793105</v>
      </c>
    </row>
    <row r="173" spans="1:2">
      <c r="A173" s="1">
        <v>367359</v>
      </c>
      <c r="B173" s="1">
        <v>1518812.201595</v>
      </c>
    </row>
    <row r="174" spans="1:2">
      <c r="A174" s="1">
        <v>333491</v>
      </c>
      <c r="B174" s="1">
        <v>1216352.88331693</v>
      </c>
    </row>
    <row r="175" spans="1:2">
      <c r="A175" s="1">
        <v>183095</v>
      </c>
      <c r="B175" s="1">
        <v>717515.424989171</v>
      </c>
    </row>
    <row r="176" spans="1:2">
      <c r="A176" s="1">
        <v>276278</v>
      </c>
      <c r="B176" s="1">
        <v>1084429.29946166</v>
      </c>
    </row>
    <row r="177" spans="1:2">
      <c r="A177" s="1">
        <v>248440</v>
      </c>
      <c r="B177" s="1">
        <v>696429.482888057</v>
      </c>
    </row>
    <row r="178" spans="1:2">
      <c r="A178" s="1">
        <v>101688</v>
      </c>
      <c r="B178" s="1">
        <v>352432.772200066</v>
      </c>
    </row>
    <row r="179" spans="1:2">
      <c r="A179" s="1">
        <v>401331</v>
      </c>
      <c r="B179" s="1">
        <v>1491448.00069527</v>
      </c>
    </row>
    <row r="180" spans="1:2">
      <c r="A180" s="1">
        <v>458342</v>
      </c>
      <c r="B180" s="1">
        <v>1345167.16005752</v>
      </c>
    </row>
    <row r="181" spans="1:2">
      <c r="A181" s="1">
        <v>486779</v>
      </c>
      <c r="B181" s="1">
        <v>1304208.37870719</v>
      </c>
    </row>
    <row r="182" spans="1:2">
      <c r="A182" s="1">
        <v>251106</v>
      </c>
      <c r="B182" s="1">
        <v>1027485.32254315</v>
      </c>
    </row>
    <row r="183" spans="1:2">
      <c r="A183" s="1">
        <v>247106</v>
      </c>
      <c r="B183" s="1">
        <v>932055.985033915</v>
      </c>
    </row>
    <row r="184" spans="1:2">
      <c r="A184" s="1">
        <v>344138</v>
      </c>
      <c r="B184" s="1">
        <v>1439575.76630301</v>
      </c>
    </row>
    <row r="185" spans="1:2">
      <c r="A185" s="1">
        <v>403399</v>
      </c>
      <c r="B185" s="1">
        <v>1109999.65368157</v>
      </c>
    </row>
    <row r="186" spans="1:2">
      <c r="A186" s="1">
        <v>1194790</v>
      </c>
      <c r="B186" s="1">
        <v>4942527.12327861</v>
      </c>
    </row>
    <row r="187" spans="1:2">
      <c r="A187" s="1">
        <v>1475217</v>
      </c>
      <c r="B187" s="1">
        <v>5415364.94711546</v>
      </c>
    </row>
    <row r="188" spans="1:2">
      <c r="A188" s="1">
        <v>1380286</v>
      </c>
      <c r="B188" s="1">
        <v>5275176.62055453</v>
      </c>
    </row>
    <row r="189" spans="1:2">
      <c r="A189" s="1">
        <v>1114725</v>
      </c>
      <c r="B189" s="1">
        <v>4597327.22685711</v>
      </c>
    </row>
    <row r="190" spans="1:2">
      <c r="A190" s="1">
        <v>409122</v>
      </c>
      <c r="B190" s="1">
        <v>1358082.69503538</v>
      </c>
    </row>
    <row r="191" spans="1:2">
      <c r="A191" s="1">
        <v>1401951</v>
      </c>
      <c r="B191" s="1">
        <v>5424081.66146617</v>
      </c>
    </row>
    <row r="192" spans="1:2">
      <c r="A192" s="1">
        <v>1327561</v>
      </c>
      <c r="B192" s="1">
        <v>4749126.74700882</v>
      </c>
    </row>
    <row r="193" spans="1:2">
      <c r="A193" s="1">
        <v>1335639</v>
      </c>
      <c r="B193" s="1">
        <v>4836709.94307408</v>
      </c>
    </row>
    <row r="194" spans="1:2">
      <c r="A194" s="1">
        <v>1203938</v>
      </c>
      <c r="B194" s="1">
        <v>4351643.97929961</v>
      </c>
    </row>
    <row r="195" spans="1:2">
      <c r="A195" s="1">
        <v>563727</v>
      </c>
      <c r="B195" s="1">
        <v>2192141.00687464</v>
      </c>
    </row>
    <row r="196" spans="1:2">
      <c r="A196" s="1">
        <v>477324</v>
      </c>
      <c r="B196" s="1">
        <v>1516760.97039323</v>
      </c>
    </row>
    <row r="197" spans="1:2">
      <c r="A197" s="1">
        <v>1226415</v>
      </c>
      <c r="B197" s="1">
        <v>4278839.43189926</v>
      </c>
    </row>
    <row r="198" spans="1:2">
      <c r="A198" s="1">
        <v>787612</v>
      </c>
      <c r="B198" s="1">
        <v>2984602.67921706</v>
      </c>
    </row>
    <row r="199" spans="1:2">
      <c r="A199" s="1">
        <v>907401</v>
      </c>
      <c r="B199" s="1">
        <v>2985280.8320609</v>
      </c>
    </row>
    <row r="200" spans="1:2">
      <c r="A200" s="1">
        <v>1082645</v>
      </c>
      <c r="B200" s="1">
        <v>3488210.12060533</v>
      </c>
    </row>
    <row r="201" spans="1:2">
      <c r="A201" s="1">
        <v>771337</v>
      </c>
      <c r="B201" s="1">
        <v>3056382.59906757</v>
      </c>
    </row>
    <row r="202" spans="1:2">
      <c r="A202" s="1">
        <v>1175965</v>
      </c>
      <c r="B202" s="1">
        <v>4486200.35742219</v>
      </c>
    </row>
    <row r="203" spans="1:2">
      <c r="A203" s="1">
        <v>1157439</v>
      </c>
      <c r="B203" s="1">
        <v>4174047.4542514</v>
      </c>
    </row>
    <row r="204" spans="1:2">
      <c r="A204" s="1">
        <v>1317820</v>
      </c>
      <c r="B204" s="1">
        <v>5089233.61019047</v>
      </c>
    </row>
    <row r="205" spans="1:2">
      <c r="A205" s="1">
        <v>1381577</v>
      </c>
      <c r="B205" s="1">
        <v>5387032.47160186</v>
      </c>
    </row>
    <row r="206" spans="1:2">
      <c r="A206" s="1">
        <v>900950</v>
      </c>
      <c r="B206" s="1">
        <v>3747605.504562</v>
      </c>
    </row>
    <row r="207" spans="1:2">
      <c r="A207" s="1">
        <v>1070556</v>
      </c>
      <c r="B207" s="1">
        <v>3886452.85865807</v>
      </c>
    </row>
    <row r="208" spans="1:2">
      <c r="A208" s="1">
        <v>529814</v>
      </c>
      <c r="B208" s="1">
        <v>2135688.82487062</v>
      </c>
    </row>
    <row r="209" spans="1:2">
      <c r="A209" s="1">
        <v>1079096</v>
      </c>
      <c r="B209" s="1">
        <v>3546043.57623967</v>
      </c>
    </row>
    <row r="210" spans="1:2">
      <c r="A210" s="1">
        <v>1019458</v>
      </c>
      <c r="B210" s="1">
        <v>3557630.33888919</v>
      </c>
    </row>
    <row r="211" spans="1:2">
      <c r="A211" s="1">
        <v>1075783</v>
      </c>
      <c r="B211" s="1">
        <v>3613439.57557899</v>
      </c>
    </row>
    <row r="212" spans="1:2">
      <c r="A212" s="1">
        <v>1184624</v>
      </c>
      <c r="B212" s="1">
        <v>4485020.39893621</v>
      </c>
    </row>
    <row r="213" spans="1:2">
      <c r="A213" s="1">
        <v>971597</v>
      </c>
      <c r="B213" s="1">
        <v>4238182.80403308</v>
      </c>
    </row>
    <row r="214" spans="1:2">
      <c r="A214" s="1">
        <v>918726</v>
      </c>
      <c r="B214" s="1">
        <v>2972514.67026847</v>
      </c>
    </row>
    <row r="215" spans="1:2">
      <c r="A215" s="1">
        <v>940383</v>
      </c>
      <c r="B215" s="1">
        <v>4077415.73822939</v>
      </c>
    </row>
    <row r="216" spans="1:2">
      <c r="A216" s="1">
        <v>1188743</v>
      </c>
      <c r="B216" s="1">
        <v>4398856.74789541</v>
      </c>
    </row>
    <row r="217" spans="1:2">
      <c r="A217" s="1">
        <v>625434</v>
      </c>
      <c r="B217" s="1">
        <v>2604167.38281059</v>
      </c>
    </row>
    <row r="218" spans="1:2">
      <c r="A218" s="1">
        <v>794971</v>
      </c>
      <c r="B218" s="1">
        <v>2946950.53764665</v>
      </c>
    </row>
    <row r="219" spans="1:2">
      <c r="A219" s="1">
        <v>792834</v>
      </c>
      <c r="B219" s="1">
        <v>3165111.27426083</v>
      </c>
    </row>
    <row r="220" spans="1:2">
      <c r="A220" s="1">
        <v>1407218</v>
      </c>
      <c r="B220" s="1">
        <v>4567139.8017969</v>
      </c>
    </row>
    <row r="221" spans="1:2">
      <c r="A221" s="1">
        <v>1217465</v>
      </c>
      <c r="B221" s="1">
        <v>5034560.20954521</v>
      </c>
    </row>
    <row r="222" spans="1:2">
      <c r="A222" s="1">
        <v>1387954</v>
      </c>
      <c r="B222" s="1">
        <v>4858392.47645345</v>
      </c>
    </row>
    <row r="223" spans="1:2">
      <c r="A223" s="1">
        <v>1424132</v>
      </c>
      <c r="B223" s="1">
        <v>4581214.74943357</v>
      </c>
    </row>
    <row r="224" spans="1:2">
      <c r="A224" s="1">
        <v>1150897</v>
      </c>
      <c r="B224" s="1">
        <v>4164122.38663927</v>
      </c>
    </row>
    <row r="225" spans="1:2">
      <c r="A225" s="1">
        <v>1367418</v>
      </c>
      <c r="B225" s="1">
        <v>3841858.0225713</v>
      </c>
    </row>
    <row r="226" spans="1:2">
      <c r="A226" s="1">
        <v>676371</v>
      </c>
      <c r="B226" s="1">
        <v>2287724.43018616</v>
      </c>
    </row>
    <row r="227" spans="1:2">
      <c r="A227" s="1">
        <v>857677</v>
      </c>
      <c r="B227" s="1">
        <v>3733792.94947647</v>
      </c>
    </row>
    <row r="228" spans="1:2">
      <c r="A228" s="1">
        <v>1133388</v>
      </c>
      <c r="B228" s="1">
        <v>4843005.80297874</v>
      </c>
    </row>
    <row r="229" spans="1:2">
      <c r="A229" s="1">
        <v>1382589</v>
      </c>
      <c r="B229" s="1">
        <v>5432074.65069449</v>
      </c>
    </row>
    <row r="230" spans="1:2">
      <c r="A230" s="1">
        <v>1082791</v>
      </c>
      <c r="B230" s="1">
        <v>4047386.05293962</v>
      </c>
    </row>
    <row r="231" spans="1:2">
      <c r="A231" s="1">
        <v>764343</v>
      </c>
      <c r="B231" s="1">
        <v>2589135.48844648</v>
      </c>
    </row>
    <row r="232" spans="1:2">
      <c r="A232" s="1">
        <v>786618</v>
      </c>
      <c r="B232" s="1">
        <v>3406939.11901494</v>
      </c>
    </row>
    <row r="233" spans="1:2">
      <c r="A233" s="1">
        <v>1328932</v>
      </c>
      <c r="B233" s="1">
        <v>5129324.35114786</v>
      </c>
    </row>
    <row r="234" spans="1:2">
      <c r="A234" s="1">
        <v>1196988</v>
      </c>
      <c r="B234" s="1">
        <v>4054755.31473327</v>
      </c>
    </row>
    <row r="235" spans="1:2">
      <c r="A235" s="1">
        <v>1397942</v>
      </c>
      <c r="B235" s="1">
        <v>4003849.24730856</v>
      </c>
    </row>
    <row r="236" spans="1:2">
      <c r="A236" s="1">
        <v>1475799</v>
      </c>
      <c r="B236" s="1">
        <v>5051294.15907036</v>
      </c>
    </row>
    <row r="237" spans="1:2">
      <c r="A237" s="1">
        <v>1407253</v>
      </c>
      <c r="B237" s="1">
        <v>5126098.42488556</v>
      </c>
    </row>
    <row r="238" spans="1:2">
      <c r="A238" s="1">
        <v>1170496</v>
      </c>
      <c r="B238" s="1">
        <v>5023172.14606518</v>
      </c>
    </row>
    <row r="239" spans="1:2">
      <c r="A239" s="1">
        <v>733969</v>
      </c>
      <c r="B239" s="1">
        <v>2905785.99830043</v>
      </c>
    </row>
    <row r="240" spans="1:2">
      <c r="A240" s="1">
        <v>1318112</v>
      </c>
      <c r="B240" s="1">
        <v>4625545.96791988</v>
      </c>
    </row>
    <row r="241" spans="1:2">
      <c r="A241" s="1">
        <v>1467329</v>
      </c>
      <c r="B241" s="1">
        <v>5701532.06617552</v>
      </c>
    </row>
    <row r="242" spans="1:2">
      <c r="A242" s="1">
        <v>1132116</v>
      </c>
      <c r="B242" s="1">
        <v>3809813.78625879</v>
      </c>
    </row>
    <row r="243" spans="1:2">
      <c r="A243" s="1">
        <v>1240175</v>
      </c>
      <c r="B243" s="1">
        <v>4909787.40933075</v>
      </c>
    </row>
    <row r="244" spans="1:2">
      <c r="A244" s="1">
        <v>995528</v>
      </c>
      <c r="B244" s="1">
        <v>4189845.94701546</v>
      </c>
    </row>
    <row r="245" spans="1:2">
      <c r="A245" s="1">
        <v>1153589</v>
      </c>
      <c r="B245" s="1">
        <v>3783257.19510662</v>
      </c>
    </row>
    <row r="246" spans="1:2">
      <c r="A246" s="1">
        <v>1357097</v>
      </c>
      <c r="B246" s="1">
        <v>4546830.17102985</v>
      </c>
    </row>
    <row r="247" spans="1:2">
      <c r="A247" s="1">
        <v>769259</v>
      </c>
      <c r="B247" s="1">
        <v>2415985.77037404</v>
      </c>
    </row>
    <row r="248" spans="1:2">
      <c r="A248" s="1">
        <v>1000094</v>
      </c>
      <c r="B248" s="1">
        <v>4064611.59679377</v>
      </c>
    </row>
    <row r="249" spans="1:2">
      <c r="A249" s="1">
        <v>1009964</v>
      </c>
      <c r="B249" s="1">
        <v>3971936.92967713</v>
      </c>
    </row>
    <row r="250" spans="1:2">
      <c r="A250" s="1">
        <v>1244048</v>
      </c>
      <c r="B250" s="1">
        <v>4029894.50951429</v>
      </c>
    </row>
    <row r="251" spans="1:2">
      <c r="A251" s="1">
        <v>1295475</v>
      </c>
      <c r="B251" s="1">
        <v>4593313.66059882</v>
      </c>
    </row>
    <row r="252" spans="1:2">
      <c r="A252" s="1">
        <v>1210841</v>
      </c>
      <c r="B252" s="1">
        <v>3809482.18969202</v>
      </c>
    </row>
    <row r="253" spans="1:2">
      <c r="A253" s="1">
        <v>1443296</v>
      </c>
      <c r="B253" s="1">
        <v>4882311.35130395</v>
      </c>
    </row>
    <row r="254" spans="1:2">
      <c r="A254" s="1">
        <v>1453842</v>
      </c>
      <c r="B254" s="1">
        <v>4293967.96888787</v>
      </c>
    </row>
    <row r="255" spans="1:2">
      <c r="A255" s="1">
        <v>1314479</v>
      </c>
      <c r="B255" s="1">
        <v>5175601.13680334</v>
      </c>
    </row>
    <row r="256" spans="1:2">
      <c r="A256" s="1">
        <v>1398225</v>
      </c>
      <c r="B256" s="1">
        <v>5384609.4559148</v>
      </c>
    </row>
    <row r="257" spans="1:2">
      <c r="A257" s="1">
        <v>765526</v>
      </c>
      <c r="B257" s="1">
        <v>2947350.36776338</v>
      </c>
    </row>
    <row r="258" spans="1:2">
      <c r="A258" s="1">
        <v>1071293</v>
      </c>
      <c r="B258" s="1">
        <v>3710794.40608106</v>
      </c>
    </row>
    <row r="259" spans="1:2">
      <c r="A259" s="1">
        <v>1192382</v>
      </c>
      <c r="B259" s="1">
        <v>5097857.00846085</v>
      </c>
    </row>
    <row r="260" spans="1:2">
      <c r="A260" s="1">
        <v>1065172</v>
      </c>
      <c r="B260" s="1">
        <v>3579746.91668916</v>
      </c>
    </row>
    <row r="261" spans="1:2">
      <c r="A261" s="1">
        <v>600530</v>
      </c>
      <c r="B261" s="1">
        <v>2208768.38632728</v>
      </c>
    </row>
    <row r="262" spans="1:2">
      <c r="A262" s="1">
        <v>1304763</v>
      </c>
      <c r="B262" s="1">
        <v>4602017.83807489</v>
      </c>
    </row>
    <row r="263" spans="1:2">
      <c r="A263" s="1">
        <v>1395274</v>
      </c>
      <c r="B263" s="1">
        <v>4533337.551137</v>
      </c>
    </row>
    <row r="264" spans="1:2">
      <c r="A264" s="1">
        <v>410247</v>
      </c>
      <c r="B264" s="1">
        <v>1227139.438864</v>
      </c>
    </row>
    <row r="265" spans="1:2">
      <c r="A265" s="1">
        <v>1196164</v>
      </c>
      <c r="B265" s="1">
        <v>5133200.11664558</v>
      </c>
    </row>
    <row r="266" spans="1:2">
      <c r="A266" s="1">
        <v>1211346</v>
      </c>
      <c r="B266" s="1">
        <v>4150037.30338231</v>
      </c>
    </row>
    <row r="267" spans="1:2">
      <c r="A267" s="1">
        <v>1464997</v>
      </c>
      <c r="B267" s="1">
        <v>5140187.79251528</v>
      </c>
    </row>
    <row r="268" spans="1:2">
      <c r="A268" s="1">
        <v>1269927</v>
      </c>
      <c r="B268" s="1">
        <v>4639623.07835902</v>
      </c>
    </row>
    <row r="269" spans="1:2">
      <c r="A269" s="1">
        <v>1487662</v>
      </c>
      <c r="B269" s="1">
        <v>5019941.5434027</v>
      </c>
    </row>
    <row r="270" spans="1:2">
      <c r="A270" s="1">
        <v>892734</v>
      </c>
      <c r="B270" s="1">
        <v>3142989.63124913</v>
      </c>
    </row>
    <row r="271" spans="1:2">
      <c r="A271" s="1">
        <v>696191</v>
      </c>
      <c r="B271" s="1">
        <v>2326527.63519143</v>
      </c>
    </row>
    <row r="272" spans="1:2">
      <c r="A272" s="1">
        <v>1156776</v>
      </c>
      <c r="B272" s="1">
        <v>3559357.20322128</v>
      </c>
    </row>
    <row r="273" spans="1:2">
      <c r="A273" s="1">
        <v>1045743</v>
      </c>
      <c r="B273" s="1">
        <v>4435549.10968698</v>
      </c>
    </row>
    <row r="274" spans="1:2">
      <c r="A274" s="1">
        <v>1083654</v>
      </c>
      <c r="B274" s="1">
        <v>4345025.73917183</v>
      </c>
    </row>
    <row r="275" spans="1:2">
      <c r="A275" s="1">
        <v>836061</v>
      </c>
      <c r="B275" s="1">
        <v>3227592.94451007</v>
      </c>
    </row>
    <row r="276" spans="1:2">
      <c r="A276" s="1">
        <v>369667</v>
      </c>
      <c r="B276" s="1">
        <v>1348926.47154748</v>
      </c>
    </row>
    <row r="277" spans="1:2">
      <c r="A277" s="1">
        <v>404100</v>
      </c>
      <c r="B277" s="1">
        <v>1744756.65221011</v>
      </c>
    </row>
    <row r="278" spans="1:2">
      <c r="A278" s="1">
        <v>1297625</v>
      </c>
      <c r="B278" s="1">
        <v>4160719.9639046</v>
      </c>
    </row>
    <row r="279" spans="1:2">
      <c r="A279" s="1">
        <v>1270707</v>
      </c>
      <c r="B279" s="1">
        <v>4746752.02963633</v>
      </c>
    </row>
    <row r="280" spans="1:2">
      <c r="A280" s="1">
        <v>1153292</v>
      </c>
      <c r="B280" s="1">
        <v>4510306.786861</v>
      </c>
    </row>
    <row r="281" spans="1:2">
      <c r="A281" s="1">
        <v>1161864</v>
      </c>
      <c r="B281" s="1">
        <v>4248426.37959543</v>
      </c>
    </row>
    <row r="282" spans="1:2">
      <c r="A282" s="1">
        <v>1395113</v>
      </c>
      <c r="B282" s="1">
        <v>5472103.26206924</v>
      </c>
    </row>
    <row r="283" spans="1:2">
      <c r="A283" s="1">
        <v>653433</v>
      </c>
      <c r="B283" s="1">
        <v>2708109.0784309</v>
      </c>
    </row>
    <row r="284" spans="1:2">
      <c r="A284" s="1">
        <v>1468346</v>
      </c>
      <c r="B284" s="1">
        <v>5074173.2126983</v>
      </c>
    </row>
    <row r="285" spans="1:2">
      <c r="A285" s="1">
        <v>1167792</v>
      </c>
      <c r="B285" s="1">
        <v>4611356.3940646</v>
      </c>
    </row>
    <row r="286" spans="1:2">
      <c r="A286" s="1">
        <v>927911</v>
      </c>
      <c r="B286" s="1">
        <v>4003972.45926493</v>
      </c>
    </row>
    <row r="287" spans="1:2">
      <c r="A287" s="1">
        <v>1427989</v>
      </c>
      <c r="B287" s="1">
        <v>4827389.19046193</v>
      </c>
    </row>
    <row r="288" spans="1:2">
      <c r="A288" s="1">
        <v>660516</v>
      </c>
      <c r="B288" s="1">
        <v>2494047.80273315</v>
      </c>
    </row>
    <row r="289" spans="1:2">
      <c r="A289" s="1">
        <v>1386334</v>
      </c>
      <c r="B289" s="1">
        <v>5193083.93677305</v>
      </c>
    </row>
    <row r="290" spans="1:2">
      <c r="A290" s="1">
        <v>1456228</v>
      </c>
      <c r="B290" s="1">
        <v>5765311.82837151</v>
      </c>
    </row>
    <row r="291" spans="1:2">
      <c r="A291" s="1">
        <v>921731</v>
      </c>
      <c r="B291" s="1">
        <v>3831356.34679069</v>
      </c>
    </row>
    <row r="292" spans="1:2">
      <c r="A292" s="1">
        <v>1115683</v>
      </c>
      <c r="B292" s="1">
        <v>4883808.99364338</v>
      </c>
    </row>
    <row r="293" spans="1:2">
      <c r="A293" s="1">
        <v>1012360</v>
      </c>
      <c r="B293" s="1">
        <v>3248591.4055663</v>
      </c>
    </row>
    <row r="294" spans="1:2">
      <c r="A294" s="1">
        <v>1186848</v>
      </c>
      <c r="B294" s="1">
        <v>4849149.36312674</v>
      </c>
    </row>
    <row r="295" spans="1:2">
      <c r="A295" s="1">
        <v>775964</v>
      </c>
      <c r="B295" s="1">
        <v>2653538.12621235</v>
      </c>
    </row>
    <row r="296" spans="1:2">
      <c r="A296" s="1">
        <v>1338967</v>
      </c>
      <c r="B296" s="1">
        <v>4459053.78442831</v>
      </c>
    </row>
    <row r="297" spans="1:2">
      <c r="A297" s="1">
        <v>1192374</v>
      </c>
      <c r="B297" s="1">
        <v>5120126.28708149</v>
      </c>
    </row>
    <row r="298" spans="1:2">
      <c r="A298" s="1">
        <v>704908</v>
      </c>
      <c r="B298" s="1">
        <v>2290314.89516003</v>
      </c>
    </row>
    <row r="299" spans="1:2">
      <c r="A299" s="1">
        <v>1189060</v>
      </c>
      <c r="B299" s="1">
        <v>4338017.80840924</v>
      </c>
    </row>
    <row r="300" spans="1:2">
      <c r="A300" s="1">
        <v>1185179</v>
      </c>
      <c r="B300" s="1">
        <v>4529963.15295728</v>
      </c>
    </row>
    <row r="301" spans="1:2">
      <c r="A301" s="1">
        <v>1410485</v>
      </c>
      <c r="B301" s="1">
        <v>4351091.61775386</v>
      </c>
    </row>
    <row r="302" spans="1:2">
      <c r="A302" s="1">
        <v>1105500</v>
      </c>
      <c r="B302" s="1">
        <v>4100349.99034719</v>
      </c>
    </row>
    <row r="303" spans="1:2">
      <c r="A303" s="1">
        <v>1356559</v>
      </c>
      <c r="B303" s="1">
        <v>3949619.93759949</v>
      </c>
    </row>
    <row r="304" spans="1:2">
      <c r="A304" s="1">
        <v>1456833</v>
      </c>
      <c r="B304" s="1">
        <v>4676104.82901231</v>
      </c>
    </row>
    <row r="305" spans="1:2">
      <c r="A305" s="1">
        <v>1480651</v>
      </c>
      <c r="B305" s="1">
        <v>5707057.19754711</v>
      </c>
    </row>
    <row r="306" spans="1:2">
      <c r="A306" s="1">
        <v>1377963</v>
      </c>
      <c r="B306" s="1">
        <v>4486751.02152798</v>
      </c>
    </row>
    <row r="307" spans="1:2">
      <c r="A307" s="1">
        <v>437006</v>
      </c>
      <c r="B307" s="1">
        <v>1464562.63321106</v>
      </c>
    </row>
    <row r="308" spans="1:2">
      <c r="A308" s="1">
        <v>947683</v>
      </c>
      <c r="B308" s="1">
        <v>2924509.38080142</v>
      </c>
    </row>
    <row r="309" spans="1:2">
      <c r="A309" s="1">
        <v>1202268</v>
      </c>
      <c r="B309" s="1">
        <v>4653917.87982702</v>
      </c>
    </row>
    <row r="310" spans="1:2">
      <c r="A310" s="1">
        <v>372642</v>
      </c>
      <c r="B310" s="1">
        <v>1265268.9451935</v>
      </c>
    </row>
    <row r="311" spans="1:2">
      <c r="A311" s="1">
        <v>979564</v>
      </c>
      <c r="B311" s="1">
        <v>4089907.0994959</v>
      </c>
    </row>
    <row r="312" spans="1:2">
      <c r="A312" s="1">
        <v>1003394</v>
      </c>
      <c r="B312" s="1">
        <v>4392975.42037581</v>
      </c>
    </row>
    <row r="313" spans="1:2">
      <c r="A313" s="1">
        <v>993821</v>
      </c>
      <c r="B313" s="1">
        <v>3441822.97157067</v>
      </c>
    </row>
    <row r="314" spans="1:2">
      <c r="A314" s="1">
        <v>1274999</v>
      </c>
      <c r="B314" s="1">
        <v>4781547.69434528</v>
      </c>
    </row>
    <row r="315" spans="1:2">
      <c r="A315" s="1">
        <v>947071</v>
      </c>
      <c r="B315" s="1">
        <v>4135304.46134845</v>
      </c>
    </row>
    <row r="319" spans="1:2">
      <c r="A319" s="1"/>
      <c r="B319" s="1"/>
    </row>
    <row r="320" spans="1:2">
      <c r="A320" s="6"/>
      <c r="B320" s="6"/>
    </row>
    <row r="321" spans="1:2">
      <c r="A321" s="6"/>
      <c r="B321" s="6"/>
    </row>
    <row r="322" spans="1:2">
      <c r="A322" s="6"/>
      <c r="B322" s="6"/>
    </row>
    <row r="323" spans="1:2">
      <c r="A323" s="6"/>
      <c r="B323" s="6"/>
    </row>
    <row r="324" spans="1:2">
      <c r="A324" s="2"/>
      <c r="B324" s="2"/>
    </row>
    <row r="325" spans="1:2">
      <c r="A325" s="2"/>
      <c r="B325" s="2"/>
    </row>
    <row r="326" spans="1:2">
      <c r="A326" s="6"/>
      <c r="B326" s="6"/>
    </row>
    <row r="327" spans="1:2">
      <c r="A327" s="6"/>
      <c r="B327" s="6"/>
    </row>
    <row r="328" spans="1:2">
      <c r="A328" s="6"/>
      <c r="B328" s="6"/>
    </row>
    <row r="329" spans="1:2">
      <c r="A329" s="6"/>
      <c r="B329" s="6"/>
    </row>
    <row r="330" spans="1:2">
      <c r="A330" s="6"/>
      <c r="B330" s="6"/>
    </row>
    <row r="331" spans="1:2">
      <c r="A331" s="6"/>
      <c r="B331" s="6"/>
    </row>
    <row r="332" spans="1:2">
      <c r="A332" s="6"/>
      <c r="B332" s="6"/>
    </row>
    <row r="333" spans="1:2">
      <c r="A333" s="6"/>
      <c r="B333" s="6"/>
    </row>
    <row r="334" spans="1:2">
      <c r="A334" s="2"/>
      <c r="B334" s="2"/>
    </row>
    <row r="356" spans="1:1">
      <c r="A356" s="11"/>
    </row>
    <row r="357" spans="1:2">
      <c r="A357" s="11"/>
      <c r="B357" s="1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1"/>
  <sheetViews>
    <sheetView workbookViewId="0">
      <selection activeCell="H27" sqref="H27"/>
    </sheetView>
  </sheetViews>
  <sheetFormatPr defaultColWidth="9" defaultRowHeight="14" outlineLevelCol="1"/>
  <cols>
    <col min="1" max="1" width="11.5583333333333" customWidth="1"/>
  </cols>
  <sheetData>
    <row r="1" spans="1:2">
      <c r="A1" t="s">
        <v>569</v>
      </c>
      <c r="B1" t="s">
        <v>568</v>
      </c>
    </row>
    <row r="2" spans="1:2">
      <c r="A2">
        <v>36765</v>
      </c>
      <c r="B2">
        <v>32101.5006889375</v>
      </c>
    </row>
    <row r="3" spans="1:2">
      <c r="A3">
        <v>106665</v>
      </c>
      <c r="B3">
        <v>94612.6016070029</v>
      </c>
    </row>
    <row r="4" spans="1:2">
      <c r="A4">
        <v>71293</v>
      </c>
      <c r="B4">
        <v>50545.4347879182</v>
      </c>
    </row>
    <row r="5" spans="1:2">
      <c r="A5">
        <v>145399</v>
      </c>
      <c r="B5">
        <v>104815.234685265</v>
      </c>
    </row>
    <row r="6" spans="1:2">
      <c r="A6">
        <v>115236</v>
      </c>
      <c r="B6">
        <v>77313.6978614716</v>
      </c>
    </row>
    <row r="7" spans="1:2">
      <c r="A7">
        <v>54146</v>
      </c>
      <c r="B7">
        <v>46680.7601304988</v>
      </c>
    </row>
    <row r="8" spans="1:2">
      <c r="A8">
        <v>183746</v>
      </c>
      <c r="B8">
        <v>124351.50320937</v>
      </c>
    </row>
    <row r="9" spans="1:2">
      <c r="A9">
        <v>191914</v>
      </c>
      <c r="B9">
        <v>142007.789659549</v>
      </c>
    </row>
    <row r="10" spans="1:2">
      <c r="A10">
        <v>197229</v>
      </c>
      <c r="B10">
        <v>138560.820883781</v>
      </c>
    </row>
    <row r="11" spans="1:2">
      <c r="A11">
        <v>121541</v>
      </c>
      <c r="B11">
        <v>104931.448207062</v>
      </c>
    </row>
    <row r="12" spans="1:2">
      <c r="A12">
        <v>138729</v>
      </c>
      <c r="B12">
        <v>108525.530045065</v>
      </c>
    </row>
    <row r="13" spans="1:2">
      <c r="A13">
        <v>182381</v>
      </c>
      <c r="B13">
        <v>137780.034956254</v>
      </c>
    </row>
    <row r="14" spans="1:2">
      <c r="A14">
        <v>51034</v>
      </c>
      <c r="B14">
        <v>36445.8638817274</v>
      </c>
    </row>
    <row r="15" spans="1:2">
      <c r="A15">
        <v>189674</v>
      </c>
      <c r="B15">
        <v>136655.565020134</v>
      </c>
    </row>
    <row r="16" spans="1:2">
      <c r="A16">
        <v>139523</v>
      </c>
      <c r="B16">
        <v>114034.548666074</v>
      </c>
    </row>
    <row r="17" spans="1:2">
      <c r="A17">
        <v>120631</v>
      </c>
      <c r="B17">
        <v>84157.326713556</v>
      </c>
    </row>
    <row r="18" spans="1:2">
      <c r="A18">
        <v>56806</v>
      </c>
      <c r="B18">
        <v>42989.7193179871</v>
      </c>
    </row>
    <row r="19" spans="1:2">
      <c r="A19">
        <v>135266</v>
      </c>
      <c r="B19">
        <v>90768.0100189646</v>
      </c>
    </row>
    <row r="20" spans="1:2">
      <c r="A20">
        <v>53104</v>
      </c>
      <c r="B20">
        <v>45865.7583844402</v>
      </c>
    </row>
    <row r="21" spans="1:2">
      <c r="A21">
        <v>188419</v>
      </c>
      <c r="B21">
        <v>124607.376155925</v>
      </c>
    </row>
    <row r="22" spans="1:2">
      <c r="A22">
        <v>134829</v>
      </c>
      <c r="B22">
        <v>97682.0269064624</v>
      </c>
    </row>
    <row r="23" spans="1:2">
      <c r="A23">
        <v>154662</v>
      </c>
      <c r="B23">
        <v>113814.426529926</v>
      </c>
    </row>
    <row r="24" spans="1:2">
      <c r="A24">
        <v>164511</v>
      </c>
      <c r="B24">
        <v>125484.112128532</v>
      </c>
    </row>
    <row r="25" spans="1:2">
      <c r="A25">
        <v>100353</v>
      </c>
      <c r="B25">
        <v>79979.2481124953</v>
      </c>
    </row>
    <row r="26" spans="1:2">
      <c r="A26">
        <v>130835</v>
      </c>
      <c r="B26">
        <v>91597.283201281</v>
      </c>
    </row>
    <row r="27" spans="1:2">
      <c r="A27">
        <v>203155</v>
      </c>
      <c r="B27">
        <v>137120.696949274</v>
      </c>
    </row>
    <row r="28" spans="1:2">
      <c r="A28">
        <v>132430</v>
      </c>
      <c r="B28">
        <v>105709.414027299</v>
      </c>
    </row>
    <row r="29" spans="1:2">
      <c r="A29">
        <v>83452</v>
      </c>
      <c r="B29">
        <v>73785.9139038674</v>
      </c>
    </row>
    <row r="30" spans="1:2">
      <c r="A30">
        <v>53807</v>
      </c>
      <c r="B30">
        <v>40568.0078702379</v>
      </c>
    </row>
    <row r="31" spans="1:2">
      <c r="A31">
        <v>130463</v>
      </c>
      <c r="B31">
        <v>95220.5655864978</v>
      </c>
    </row>
    <row r="32" spans="1:2">
      <c r="A32">
        <v>149751</v>
      </c>
      <c r="B32">
        <v>111774.849183231</v>
      </c>
    </row>
    <row r="33" spans="1:2">
      <c r="A33">
        <v>91815</v>
      </c>
      <c r="B33">
        <v>61894.0610639594</v>
      </c>
    </row>
    <row r="34" spans="1:2">
      <c r="A34">
        <v>103680</v>
      </c>
      <c r="B34">
        <v>75378.880959243</v>
      </c>
    </row>
    <row r="35" spans="1:2">
      <c r="A35">
        <v>150209</v>
      </c>
      <c r="B35">
        <v>109555.273300774</v>
      </c>
    </row>
    <row r="36" spans="1:2">
      <c r="A36">
        <v>163952</v>
      </c>
      <c r="B36">
        <v>119677.678616558</v>
      </c>
    </row>
    <row r="37" spans="1:2">
      <c r="A37">
        <v>108518</v>
      </c>
      <c r="B37">
        <v>91702.0866542286</v>
      </c>
    </row>
    <row r="38" spans="1:2">
      <c r="A38">
        <v>193734</v>
      </c>
      <c r="B38">
        <v>141374.452228155</v>
      </c>
    </row>
    <row r="39" spans="1:2">
      <c r="A39">
        <v>168313</v>
      </c>
      <c r="B39">
        <v>119330.276987281</v>
      </c>
    </row>
    <row r="40" spans="1:2">
      <c r="A40">
        <v>147730</v>
      </c>
      <c r="B40">
        <v>106656.680601802</v>
      </c>
    </row>
    <row r="41" spans="1:2">
      <c r="A41">
        <v>150097</v>
      </c>
      <c r="B41">
        <v>101734.511898681</v>
      </c>
    </row>
    <row r="42" spans="1:2">
      <c r="A42">
        <v>169418</v>
      </c>
      <c r="B42">
        <v>117876.095658318</v>
      </c>
    </row>
    <row r="43" spans="1:2">
      <c r="A43">
        <v>180226</v>
      </c>
      <c r="B43">
        <v>131069.172781887</v>
      </c>
    </row>
    <row r="44" spans="1:2">
      <c r="A44">
        <v>99213</v>
      </c>
      <c r="B44">
        <v>71051.3037956373</v>
      </c>
    </row>
    <row r="45" spans="1:2">
      <c r="A45">
        <v>163729</v>
      </c>
      <c r="B45">
        <v>117488.523647432</v>
      </c>
    </row>
    <row r="46" spans="1:2">
      <c r="A46">
        <v>118713</v>
      </c>
      <c r="B46">
        <v>98074.9523273939</v>
      </c>
    </row>
    <row r="47" spans="1:2">
      <c r="A47">
        <v>147154</v>
      </c>
      <c r="B47">
        <v>104728.963617064</v>
      </c>
    </row>
    <row r="48" spans="1:2">
      <c r="A48">
        <v>146020</v>
      </c>
      <c r="B48">
        <v>102204.245401433</v>
      </c>
    </row>
    <row r="49" spans="1:2">
      <c r="A49">
        <v>167318</v>
      </c>
      <c r="B49">
        <v>110267.564583186</v>
      </c>
    </row>
    <row r="50" spans="1:2">
      <c r="A50">
        <v>142405</v>
      </c>
      <c r="B50">
        <v>95494.0414064758</v>
      </c>
    </row>
    <row r="51" spans="1:2">
      <c r="A51">
        <v>48660</v>
      </c>
      <c r="B51">
        <v>46670.7269397931</v>
      </c>
    </row>
    <row r="52" spans="1:2">
      <c r="A52">
        <v>102438</v>
      </c>
      <c r="B52">
        <v>71582.1602844112</v>
      </c>
    </row>
    <row r="53" spans="1:2">
      <c r="A53">
        <v>191656</v>
      </c>
      <c r="B53">
        <v>130980.867624982</v>
      </c>
    </row>
    <row r="54" spans="1:2">
      <c r="A54">
        <v>149294</v>
      </c>
      <c r="B54">
        <v>105605.780231468</v>
      </c>
    </row>
    <row r="55" spans="1:2">
      <c r="A55">
        <v>167817</v>
      </c>
      <c r="B55">
        <v>111687.669975843</v>
      </c>
    </row>
    <row r="56" spans="1:2">
      <c r="A56">
        <v>120116</v>
      </c>
      <c r="B56">
        <v>107426.076455946</v>
      </c>
    </row>
    <row r="57" spans="1:2">
      <c r="A57">
        <v>76376</v>
      </c>
      <c r="B57">
        <v>70394.4851873311</v>
      </c>
    </row>
    <row r="58" spans="1:2">
      <c r="A58">
        <v>100852</v>
      </c>
      <c r="B58">
        <v>67803.5641938703</v>
      </c>
    </row>
    <row r="59" spans="1:2">
      <c r="A59">
        <v>92616</v>
      </c>
      <c r="B59">
        <v>68256.0585234504</v>
      </c>
    </row>
    <row r="60" spans="1:2">
      <c r="A60">
        <v>99577</v>
      </c>
      <c r="B60">
        <v>75178.5635889481</v>
      </c>
    </row>
    <row r="61" spans="1:2">
      <c r="A61">
        <v>187244</v>
      </c>
      <c r="B61">
        <v>138743.335939161</v>
      </c>
    </row>
    <row r="62" spans="1:2">
      <c r="A62">
        <v>160261</v>
      </c>
      <c r="B62">
        <v>128779.741676036</v>
      </c>
    </row>
    <row r="63" spans="1:2">
      <c r="A63">
        <v>139907</v>
      </c>
      <c r="B63">
        <v>111937.408140756</v>
      </c>
    </row>
    <row r="64" spans="1:2">
      <c r="A64">
        <v>130680</v>
      </c>
      <c r="B64">
        <v>89634.8049947042</v>
      </c>
    </row>
    <row r="65" spans="1:2">
      <c r="A65">
        <v>52717</v>
      </c>
      <c r="B65">
        <v>34991.0316503608</v>
      </c>
    </row>
    <row r="66" spans="1:2">
      <c r="A66">
        <v>146077</v>
      </c>
      <c r="B66">
        <v>104394.526822286</v>
      </c>
    </row>
    <row r="67" spans="1:2">
      <c r="A67">
        <v>111584</v>
      </c>
      <c r="B67">
        <v>83832.8118012605</v>
      </c>
    </row>
    <row r="68" spans="1:2">
      <c r="A68">
        <v>197802</v>
      </c>
      <c r="B68">
        <v>137357.963039021</v>
      </c>
    </row>
    <row r="69" spans="1:2">
      <c r="A69">
        <v>113963</v>
      </c>
      <c r="B69">
        <v>85629.7404532718</v>
      </c>
    </row>
    <row r="70" spans="1:2">
      <c r="A70">
        <v>200127</v>
      </c>
      <c r="B70">
        <v>142730.543324134</v>
      </c>
    </row>
    <row r="71" spans="1:2">
      <c r="A71">
        <v>161357</v>
      </c>
      <c r="B71">
        <v>123638.540391334</v>
      </c>
    </row>
    <row r="72" spans="1:2">
      <c r="A72">
        <v>104578</v>
      </c>
      <c r="B72">
        <v>71773.9348658673</v>
      </c>
    </row>
    <row r="73" spans="1:2">
      <c r="A73">
        <v>194511</v>
      </c>
      <c r="B73">
        <v>139768.184100861</v>
      </c>
    </row>
    <row r="74" spans="1:2">
      <c r="A74">
        <v>54699</v>
      </c>
      <c r="B74">
        <v>43569.2125594338</v>
      </c>
    </row>
    <row r="75" spans="1:2">
      <c r="A75">
        <v>119046</v>
      </c>
      <c r="B75">
        <v>101217.310095865</v>
      </c>
    </row>
    <row r="76" spans="1:2">
      <c r="A76">
        <v>91633</v>
      </c>
      <c r="B76">
        <v>65089.155989581</v>
      </c>
    </row>
    <row r="77" spans="1:2">
      <c r="A77">
        <v>192768</v>
      </c>
      <c r="B77">
        <v>130386.598953896</v>
      </c>
    </row>
    <row r="78" spans="1:2">
      <c r="A78">
        <v>97150</v>
      </c>
      <c r="B78">
        <v>77822.8741582721</v>
      </c>
    </row>
    <row r="79" spans="1:2">
      <c r="A79">
        <v>195630</v>
      </c>
      <c r="B79">
        <v>144748.532133539</v>
      </c>
    </row>
    <row r="80" spans="1:2">
      <c r="A80">
        <v>200430</v>
      </c>
      <c r="B80">
        <v>144383.793499582</v>
      </c>
    </row>
    <row r="81" spans="1:2">
      <c r="A81">
        <v>130800</v>
      </c>
      <c r="B81">
        <v>108977.243061321</v>
      </c>
    </row>
    <row r="82" spans="1:2">
      <c r="A82">
        <v>152682</v>
      </c>
      <c r="B82">
        <v>121142.976045421</v>
      </c>
    </row>
    <row r="83" spans="1:2">
      <c r="A83">
        <v>146580</v>
      </c>
      <c r="B83">
        <v>122922.680539962</v>
      </c>
    </row>
    <row r="84" spans="1:2">
      <c r="A84">
        <v>158148</v>
      </c>
      <c r="B84">
        <v>114624.396044412</v>
      </c>
    </row>
    <row r="85" spans="1:2">
      <c r="A85">
        <v>81470</v>
      </c>
      <c r="B85">
        <v>68137.758550559</v>
      </c>
    </row>
    <row r="86" spans="1:2">
      <c r="A86">
        <v>82875</v>
      </c>
      <c r="B86">
        <v>66203.6390551125</v>
      </c>
    </row>
    <row r="87" spans="1:2">
      <c r="A87">
        <v>87384</v>
      </c>
      <c r="B87">
        <v>75044.1694816845</v>
      </c>
    </row>
    <row r="88" spans="1:2">
      <c r="A88">
        <v>44896</v>
      </c>
      <c r="B88">
        <v>35787.8831011048</v>
      </c>
    </row>
    <row r="89" spans="1:2">
      <c r="A89">
        <v>175282</v>
      </c>
      <c r="B89">
        <v>119800.675125724</v>
      </c>
    </row>
    <row r="90" spans="1:2">
      <c r="A90">
        <v>142272</v>
      </c>
      <c r="B90">
        <v>95741.5010058097</v>
      </c>
    </row>
    <row r="91" spans="1:2">
      <c r="A91">
        <v>108257</v>
      </c>
      <c r="B91">
        <v>86831.6187093062</v>
      </c>
    </row>
    <row r="92" spans="1:2">
      <c r="A92">
        <v>143581</v>
      </c>
      <c r="B92">
        <v>98143.6038912536</v>
      </c>
    </row>
    <row r="93" spans="1:2">
      <c r="A93">
        <v>193989</v>
      </c>
      <c r="B93">
        <v>129626.686052154</v>
      </c>
    </row>
    <row r="94" spans="1:2">
      <c r="A94">
        <v>203819</v>
      </c>
      <c r="B94">
        <v>141210.525323963</v>
      </c>
    </row>
    <row r="95" spans="1:2">
      <c r="A95">
        <v>52589</v>
      </c>
      <c r="B95">
        <v>42242.5392193169</v>
      </c>
    </row>
    <row r="96" spans="1:2">
      <c r="A96">
        <v>188475</v>
      </c>
      <c r="B96">
        <v>136280.562156012</v>
      </c>
    </row>
    <row r="97" spans="1:2">
      <c r="A97">
        <v>110970</v>
      </c>
      <c r="B97">
        <v>89757.3569194055</v>
      </c>
    </row>
    <row r="98" spans="1:2">
      <c r="A98">
        <v>188836</v>
      </c>
      <c r="B98">
        <v>141673.101496808</v>
      </c>
    </row>
    <row r="99" spans="1:2">
      <c r="A99">
        <v>102210</v>
      </c>
      <c r="B99">
        <v>92753.342721686</v>
      </c>
    </row>
    <row r="100" spans="1:2">
      <c r="A100">
        <v>189463</v>
      </c>
      <c r="B100">
        <v>124697.380681748</v>
      </c>
    </row>
    <row r="101" spans="1:2">
      <c r="A101">
        <v>154552</v>
      </c>
      <c r="B101">
        <v>125237.532634172</v>
      </c>
    </row>
    <row r="102" spans="1:2">
      <c r="A102">
        <v>195510</v>
      </c>
      <c r="B102">
        <v>133065.88617739</v>
      </c>
    </row>
    <row r="103" spans="1:2">
      <c r="A103">
        <v>88111</v>
      </c>
      <c r="B103">
        <v>60146.9190730512</v>
      </c>
    </row>
    <row r="104" spans="1:2">
      <c r="A104">
        <v>197821</v>
      </c>
      <c r="B104">
        <v>145119.954548706</v>
      </c>
    </row>
    <row r="105" spans="1:2">
      <c r="A105">
        <v>113951</v>
      </c>
      <c r="B105">
        <v>96123.0328164438</v>
      </c>
    </row>
    <row r="106" spans="1:2">
      <c r="A106">
        <v>153963</v>
      </c>
      <c r="B106">
        <v>119203.227782202</v>
      </c>
    </row>
    <row r="107" spans="1:2">
      <c r="A107">
        <v>189442</v>
      </c>
      <c r="B107">
        <v>126283.433141621</v>
      </c>
    </row>
    <row r="108" spans="1:2">
      <c r="A108">
        <v>134353</v>
      </c>
      <c r="B108">
        <v>96735.7730335537</v>
      </c>
    </row>
    <row r="109" spans="1:2">
      <c r="A109">
        <v>71379</v>
      </c>
      <c r="B109">
        <v>50302.5647074857</v>
      </c>
    </row>
    <row r="110" spans="1:2">
      <c r="A110">
        <v>136078</v>
      </c>
      <c r="B110">
        <v>105227.515245401</v>
      </c>
    </row>
    <row r="111" spans="1:2">
      <c r="A111">
        <v>91033</v>
      </c>
      <c r="B111">
        <v>68255.9362760115</v>
      </c>
    </row>
    <row r="112" spans="1:2">
      <c r="A112">
        <v>67838</v>
      </c>
      <c r="B112">
        <v>45601.1528498725</v>
      </c>
    </row>
    <row r="113" spans="1:2">
      <c r="A113">
        <v>81325</v>
      </c>
      <c r="B113">
        <v>65439.2428620099</v>
      </c>
    </row>
    <row r="114" spans="1:2">
      <c r="A114">
        <v>58318</v>
      </c>
      <c r="B114">
        <v>57905.2233493658</v>
      </c>
    </row>
    <row r="115" spans="1:2">
      <c r="A115">
        <v>169826</v>
      </c>
      <c r="B115">
        <v>116071.536406373</v>
      </c>
    </row>
    <row r="116" spans="1:2">
      <c r="A116">
        <v>142845</v>
      </c>
      <c r="B116">
        <v>119253.136277169</v>
      </c>
    </row>
    <row r="117" spans="1:2">
      <c r="A117">
        <v>72327</v>
      </c>
      <c r="B117">
        <v>61611.2135385503</v>
      </c>
    </row>
    <row r="118" spans="1:2">
      <c r="A118">
        <v>79502</v>
      </c>
      <c r="B118">
        <v>55019.2434770826</v>
      </c>
    </row>
    <row r="119" spans="1:2">
      <c r="A119">
        <v>187968</v>
      </c>
      <c r="B119">
        <v>136519.891098398</v>
      </c>
    </row>
    <row r="120" spans="1:2">
      <c r="A120">
        <v>197907</v>
      </c>
      <c r="B120">
        <v>141922.602125579</v>
      </c>
    </row>
    <row r="121" spans="1:2">
      <c r="A121">
        <v>142826</v>
      </c>
      <c r="B121">
        <v>103479.242502158</v>
      </c>
    </row>
    <row r="122" spans="1:2">
      <c r="A122">
        <v>94904</v>
      </c>
      <c r="B122">
        <v>88385.5848320363</v>
      </c>
    </row>
    <row r="123" spans="1:2">
      <c r="A123">
        <v>196552</v>
      </c>
      <c r="B123">
        <v>133268.318333787</v>
      </c>
    </row>
    <row r="124" spans="1:2">
      <c r="A124">
        <v>67377</v>
      </c>
      <c r="B124">
        <v>55788.514602527</v>
      </c>
    </row>
    <row r="125" spans="1:2">
      <c r="A125">
        <v>88920</v>
      </c>
      <c r="B125">
        <v>80644.4781631712</v>
      </c>
    </row>
    <row r="126" spans="1:2">
      <c r="A126">
        <v>131158</v>
      </c>
      <c r="B126">
        <v>105214.697644131</v>
      </c>
    </row>
    <row r="127" spans="1:2">
      <c r="A127">
        <v>141534</v>
      </c>
      <c r="B127">
        <v>113082.022122023</v>
      </c>
    </row>
    <row r="128" spans="1:2">
      <c r="A128">
        <v>121911</v>
      </c>
      <c r="B128">
        <v>89605.4887045445</v>
      </c>
    </row>
    <row r="129" spans="1:2">
      <c r="A129">
        <v>163039</v>
      </c>
      <c r="B129">
        <v>117916.572315693</v>
      </c>
    </row>
    <row r="130" spans="1:2">
      <c r="A130">
        <v>102538</v>
      </c>
      <c r="B130">
        <v>75390.6457222459</v>
      </c>
    </row>
    <row r="131" spans="1:2">
      <c r="A131">
        <v>52595</v>
      </c>
      <c r="B131">
        <v>38678.2585153371</v>
      </c>
    </row>
    <row r="132" spans="1:2">
      <c r="A132">
        <v>139319</v>
      </c>
      <c r="B132">
        <v>117862.676942564</v>
      </c>
    </row>
    <row r="133" spans="1:2">
      <c r="A133">
        <v>128428</v>
      </c>
      <c r="B133">
        <v>92627.9078230496</v>
      </c>
    </row>
    <row r="134" spans="1:2">
      <c r="A134">
        <v>182470</v>
      </c>
      <c r="B134">
        <v>141025.769583097</v>
      </c>
    </row>
    <row r="135" spans="1:2">
      <c r="A135">
        <v>133401</v>
      </c>
      <c r="B135">
        <v>106287.419190511</v>
      </c>
    </row>
    <row r="136" spans="1:2">
      <c r="A136">
        <v>123833</v>
      </c>
      <c r="B136">
        <v>94747.7377900995</v>
      </c>
    </row>
    <row r="137" spans="1:2">
      <c r="A137">
        <v>183533</v>
      </c>
      <c r="B137">
        <v>138037.728205983</v>
      </c>
    </row>
    <row r="138" spans="1:2">
      <c r="A138">
        <v>101279</v>
      </c>
      <c r="B138">
        <v>84441.2586741768</v>
      </c>
    </row>
    <row r="139" spans="1:2">
      <c r="A139">
        <v>44887</v>
      </c>
      <c r="B139">
        <v>38419.9258824169</v>
      </c>
    </row>
    <row r="140" spans="1:2">
      <c r="A140">
        <v>112070</v>
      </c>
      <c r="B140">
        <v>86964.0617286456</v>
      </c>
    </row>
    <row r="141" spans="1:2">
      <c r="A141">
        <v>154884</v>
      </c>
      <c r="B141">
        <v>104288.961071407</v>
      </c>
    </row>
    <row r="142" spans="1:2">
      <c r="A142">
        <v>136967</v>
      </c>
      <c r="B142">
        <v>91540.6353980619</v>
      </c>
    </row>
    <row r="143" spans="1:2">
      <c r="A143">
        <v>94589</v>
      </c>
      <c r="B143">
        <v>80128.7369642429</v>
      </c>
    </row>
    <row r="144" spans="1:2">
      <c r="A144">
        <v>169686</v>
      </c>
      <c r="B144">
        <v>112206.15874841</v>
      </c>
    </row>
    <row r="145" spans="1:2">
      <c r="A145">
        <v>69476</v>
      </c>
      <c r="B145">
        <v>62731.4498135828</v>
      </c>
    </row>
    <row r="146" spans="1:2">
      <c r="A146">
        <v>131209</v>
      </c>
      <c r="B146">
        <v>106955.0663526</v>
      </c>
    </row>
    <row r="147" spans="1:2">
      <c r="A147">
        <v>106069</v>
      </c>
      <c r="B147">
        <v>83276.4384558832</v>
      </c>
    </row>
    <row r="148" spans="1:2">
      <c r="A148">
        <v>138197</v>
      </c>
      <c r="B148">
        <v>110551.265087661</v>
      </c>
    </row>
    <row r="149" spans="1:2">
      <c r="A149">
        <v>128160</v>
      </c>
      <c r="B149">
        <v>105313.16931123</v>
      </c>
    </row>
    <row r="150" spans="1:2">
      <c r="A150">
        <v>146779</v>
      </c>
      <c r="B150">
        <v>103807.455720939</v>
      </c>
    </row>
    <row r="151" spans="1:2">
      <c r="A151">
        <v>197933</v>
      </c>
      <c r="B151">
        <v>134933.070664325</v>
      </c>
    </row>
    <row r="152" spans="1:2">
      <c r="A152">
        <v>184361</v>
      </c>
      <c r="B152">
        <v>137556.687483015</v>
      </c>
    </row>
    <row r="153" spans="1:2">
      <c r="A153">
        <v>189327</v>
      </c>
      <c r="B153">
        <v>143628.413145161</v>
      </c>
    </row>
    <row r="154" spans="1:2">
      <c r="A154">
        <v>84835</v>
      </c>
      <c r="B154">
        <v>75611.3163858663</v>
      </c>
    </row>
    <row r="155" spans="1:2">
      <c r="A155">
        <v>98503</v>
      </c>
      <c r="B155">
        <v>72866.4081522652</v>
      </c>
    </row>
    <row r="156" spans="1:2">
      <c r="A156">
        <v>139984</v>
      </c>
      <c r="B156">
        <v>92631.495443768</v>
      </c>
    </row>
    <row r="157" spans="1:2">
      <c r="A157">
        <v>182388</v>
      </c>
      <c r="B157">
        <v>121133.642989467</v>
      </c>
    </row>
    <row r="158" spans="1:2">
      <c r="A158">
        <v>186810</v>
      </c>
      <c r="B158">
        <v>136184.071630089</v>
      </c>
    </row>
    <row r="159" spans="1:2">
      <c r="A159">
        <v>112833</v>
      </c>
      <c r="B159">
        <v>84126.5643041427</v>
      </c>
    </row>
    <row r="160" spans="1:2">
      <c r="A160">
        <v>146974</v>
      </c>
      <c r="B160">
        <v>102039.64546632</v>
      </c>
    </row>
    <row r="161" spans="1:2">
      <c r="A161">
        <v>58278</v>
      </c>
      <c r="B161">
        <v>51157.4910514854</v>
      </c>
    </row>
    <row r="162" spans="1:2">
      <c r="A162">
        <v>198924</v>
      </c>
      <c r="B162">
        <v>131627.25937786</v>
      </c>
    </row>
    <row r="163" spans="1:2">
      <c r="A163">
        <v>137450</v>
      </c>
      <c r="B163">
        <v>116242.261009923</v>
      </c>
    </row>
    <row r="164" spans="1:2">
      <c r="A164">
        <v>198452</v>
      </c>
      <c r="B164">
        <v>137059.29980219</v>
      </c>
    </row>
    <row r="165" spans="1:2">
      <c r="A165">
        <v>80663</v>
      </c>
      <c r="B165">
        <v>63221.3654819619</v>
      </c>
    </row>
    <row r="166" spans="1:2">
      <c r="A166">
        <v>199333</v>
      </c>
      <c r="B166">
        <v>134326.476553296</v>
      </c>
    </row>
    <row r="167" spans="1:2">
      <c r="A167">
        <v>157913</v>
      </c>
      <c r="B167">
        <v>113295.230162291</v>
      </c>
    </row>
    <row r="168" spans="1:2">
      <c r="A168">
        <v>153029</v>
      </c>
      <c r="B168">
        <v>111113.600008941</v>
      </c>
    </row>
    <row r="169" spans="1:2">
      <c r="A169">
        <v>145910</v>
      </c>
      <c r="B169">
        <v>106160.054625759</v>
      </c>
    </row>
    <row r="170" spans="1:2">
      <c r="A170">
        <v>198567</v>
      </c>
      <c r="B170">
        <v>140058.18673483</v>
      </c>
    </row>
    <row r="171" spans="1:2">
      <c r="A171">
        <v>131821</v>
      </c>
      <c r="B171">
        <v>101752.756664245</v>
      </c>
    </row>
    <row r="172" spans="1:2">
      <c r="A172">
        <v>159650</v>
      </c>
      <c r="B172">
        <v>109755.208345821</v>
      </c>
    </row>
    <row r="173" spans="1:2">
      <c r="A173">
        <v>154089</v>
      </c>
      <c r="B173">
        <v>123746.633391705</v>
      </c>
    </row>
    <row r="174" spans="1:2">
      <c r="A174">
        <v>87962</v>
      </c>
      <c r="B174">
        <v>75473.5112623029</v>
      </c>
    </row>
    <row r="175" spans="1:2">
      <c r="A175">
        <v>113917</v>
      </c>
      <c r="B175">
        <v>75808.4745024181</v>
      </c>
    </row>
    <row r="176" spans="1:2">
      <c r="A176">
        <v>122977</v>
      </c>
      <c r="B176">
        <v>94040.9473755414</v>
      </c>
    </row>
    <row r="177" spans="1:2">
      <c r="A177">
        <v>155788</v>
      </c>
      <c r="B177">
        <v>119718.95631303</v>
      </c>
    </row>
    <row r="178" spans="1:2">
      <c r="A178">
        <v>98709</v>
      </c>
      <c r="B178">
        <v>80292.0587320167</v>
      </c>
    </row>
    <row r="179" spans="1:2">
      <c r="A179">
        <v>102115</v>
      </c>
      <c r="B179">
        <v>78725.9396353069</v>
      </c>
    </row>
    <row r="180" spans="1:2">
      <c r="A180">
        <v>135610</v>
      </c>
      <c r="B180">
        <v>105828.562422264</v>
      </c>
    </row>
    <row r="181" spans="1:2">
      <c r="A181">
        <v>125192</v>
      </c>
      <c r="B181">
        <v>103894.116609983</v>
      </c>
    </row>
    <row r="182" spans="1:2">
      <c r="A182">
        <v>175108</v>
      </c>
      <c r="B182">
        <v>125595.421070045</v>
      </c>
    </row>
    <row r="183" spans="1:2">
      <c r="A183">
        <v>151056</v>
      </c>
      <c r="B183">
        <v>108509.741765201</v>
      </c>
    </row>
    <row r="184" spans="1:2">
      <c r="A184">
        <v>135377</v>
      </c>
      <c r="B184">
        <v>110412.111103971</v>
      </c>
    </row>
    <row r="185" spans="1:2">
      <c r="A185">
        <v>98634</v>
      </c>
      <c r="B185">
        <v>84368.5433163439</v>
      </c>
    </row>
    <row r="186" spans="1:2">
      <c r="A186">
        <v>180003</v>
      </c>
      <c r="B186">
        <v>121401.859506145</v>
      </c>
    </row>
    <row r="187" spans="1:2">
      <c r="A187">
        <v>156269</v>
      </c>
      <c r="B187">
        <v>122237.86143268</v>
      </c>
    </row>
    <row r="188" spans="1:2">
      <c r="A188">
        <v>175881</v>
      </c>
      <c r="B188">
        <v>141109.06552891</v>
      </c>
    </row>
    <row r="189" spans="1:2">
      <c r="A189">
        <v>108620</v>
      </c>
      <c r="B189">
        <v>72757.0132652212</v>
      </c>
    </row>
    <row r="190" spans="1:2">
      <c r="A190">
        <v>122781</v>
      </c>
      <c r="B190">
        <v>102863.164884158</v>
      </c>
    </row>
    <row r="191" spans="1:2">
      <c r="A191">
        <v>107164</v>
      </c>
      <c r="B191">
        <v>96121.981394939</v>
      </c>
    </row>
    <row r="192" spans="1:2">
      <c r="A192">
        <v>95157</v>
      </c>
      <c r="B192">
        <v>80162.2940926206</v>
      </c>
    </row>
    <row r="193" spans="1:2">
      <c r="A193">
        <v>156426</v>
      </c>
      <c r="B193">
        <v>110348.993591922</v>
      </c>
    </row>
    <row r="194" spans="1:2">
      <c r="A194">
        <v>91708</v>
      </c>
      <c r="B194">
        <v>66827.9797869459</v>
      </c>
    </row>
    <row r="195" spans="1:2">
      <c r="A195">
        <v>166421</v>
      </c>
      <c r="B195">
        <v>120734.016071585</v>
      </c>
    </row>
    <row r="196" spans="1:2">
      <c r="A196">
        <v>119109</v>
      </c>
      <c r="B196">
        <v>89792.458330632</v>
      </c>
    </row>
    <row r="197" spans="1:2">
      <c r="A197">
        <v>99634</v>
      </c>
      <c r="B197">
        <v>71293.3894348886</v>
      </c>
    </row>
    <row r="198" spans="1:2">
      <c r="A198">
        <v>124810</v>
      </c>
      <c r="B198">
        <v>92092.9637728777</v>
      </c>
    </row>
    <row r="199" spans="1:2">
      <c r="A199">
        <v>95042</v>
      </c>
      <c r="B199">
        <v>63042.9712250982</v>
      </c>
    </row>
    <row r="200" spans="1:2">
      <c r="A200">
        <v>118134</v>
      </c>
      <c r="B200">
        <v>104684.402245712</v>
      </c>
    </row>
    <row r="201" spans="1:2">
      <c r="A201">
        <v>197338</v>
      </c>
      <c r="B201">
        <v>147277.073547777</v>
      </c>
    </row>
    <row r="202" spans="1:2">
      <c r="A202">
        <v>147525</v>
      </c>
      <c r="B202">
        <v>98037.1361282711</v>
      </c>
    </row>
    <row r="203" spans="1:2">
      <c r="A203">
        <v>181723</v>
      </c>
      <c r="B203">
        <v>130578.996845394</v>
      </c>
    </row>
    <row r="204" spans="1:2">
      <c r="A204">
        <v>38876</v>
      </c>
      <c r="B204">
        <v>36080.3569453201</v>
      </c>
    </row>
    <row r="205" spans="1:2">
      <c r="A205">
        <v>94440</v>
      </c>
      <c r="B205">
        <v>69765.1347534575</v>
      </c>
    </row>
    <row r="206" spans="1:2">
      <c r="A206">
        <v>63638</v>
      </c>
      <c r="B206">
        <v>48795.0542969407</v>
      </c>
    </row>
    <row r="207" spans="1:2">
      <c r="A207">
        <v>128524</v>
      </c>
      <c r="B207">
        <v>99231.2244295942</v>
      </c>
    </row>
    <row r="208" spans="1:2">
      <c r="A208">
        <v>114742</v>
      </c>
      <c r="B208">
        <v>93260.1921030367</v>
      </c>
    </row>
    <row r="209" spans="1:2">
      <c r="A209">
        <v>134993</v>
      </c>
      <c r="B209">
        <v>90649.5121019348</v>
      </c>
    </row>
    <row r="210" spans="1:2">
      <c r="A210">
        <v>39762</v>
      </c>
      <c r="B210">
        <v>30551.6520626339</v>
      </c>
    </row>
    <row r="211" spans="1:2">
      <c r="A211">
        <v>93213</v>
      </c>
      <c r="B211">
        <v>72713.9021588036</v>
      </c>
    </row>
    <row r="212" spans="1:2">
      <c r="A212">
        <v>120483</v>
      </c>
      <c r="B212">
        <v>86194.3475181311</v>
      </c>
    </row>
    <row r="213" spans="1:2">
      <c r="A213">
        <v>117597</v>
      </c>
      <c r="B213">
        <v>80422.3429627946</v>
      </c>
    </row>
    <row r="214" spans="1:2">
      <c r="A214">
        <v>98673</v>
      </c>
      <c r="B214">
        <v>82420.555902995</v>
      </c>
    </row>
    <row r="215" spans="1:2">
      <c r="A215">
        <v>136389</v>
      </c>
      <c r="B215">
        <v>109571.408880817</v>
      </c>
    </row>
    <row r="216" spans="1:2">
      <c r="A216">
        <v>86072</v>
      </c>
      <c r="B216">
        <v>64355.1577418631</v>
      </c>
    </row>
    <row r="217" spans="1:2">
      <c r="A217">
        <v>102488</v>
      </c>
      <c r="B217">
        <v>96259.5894459492</v>
      </c>
    </row>
    <row r="218" spans="1:2">
      <c r="A218">
        <v>195636</v>
      </c>
      <c r="B218">
        <v>142042.990430074</v>
      </c>
    </row>
    <row r="219" spans="1:2">
      <c r="A219">
        <v>134865</v>
      </c>
      <c r="B219">
        <v>111105.41689405</v>
      </c>
    </row>
    <row r="220" spans="1:2">
      <c r="A220">
        <v>57295</v>
      </c>
      <c r="B220">
        <v>56787.0745982412</v>
      </c>
    </row>
    <row r="221" spans="1:2">
      <c r="A221">
        <v>96573</v>
      </c>
      <c r="B221">
        <v>81854.6504407287</v>
      </c>
    </row>
    <row r="222" spans="1:2">
      <c r="A222">
        <v>184891</v>
      </c>
      <c r="B222">
        <v>123261.699221342</v>
      </c>
    </row>
    <row r="223" spans="1:2">
      <c r="A223">
        <v>96882</v>
      </c>
      <c r="B223">
        <v>81132.0366516583</v>
      </c>
    </row>
    <row r="227" spans="1:2">
      <c r="A227" s="1"/>
      <c r="B227" s="1"/>
    </row>
    <row r="228" spans="1:2">
      <c r="A228" s="2"/>
      <c r="B228" s="2"/>
    </row>
    <row r="229" spans="1:2">
      <c r="A229" s="8"/>
      <c r="B229" s="2"/>
    </row>
    <row r="230" spans="1:2">
      <c r="A230" s="9"/>
      <c r="B230" s="10"/>
    </row>
    <row r="231" spans="1:2">
      <c r="A231" s="9"/>
      <c r="B231" s="10"/>
    </row>
    <row r="232" spans="1:2">
      <c r="A232" s="2"/>
      <c r="B232" s="2"/>
    </row>
    <row r="233" spans="1:2">
      <c r="A233" s="6"/>
      <c r="B233" s="6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6"/>
      <c r="B240" s="2"/>
    </row>
    <row r="241" spans="1:2">
      <c r="A241" s="6"/>
      <c r="B241" s="2"/>
    </row>
    <row r="242" spans="1:2">
      <c r="A242" s="6"/>
      <c r="B242" s="2"/>
    </row>
    <row r="243" spans="1:2">
      <c r="A243" s="6"/>
      <c r="B243" s="2"/>
    </row>
    <row r="244" spans="1:2">
      <c r="A244" s="6"/>
      <c r="B244" s="2"/>
    </row>
    <row r="245" spans="1:2">
      <c r="A245" s="6"/>
      <c r="B245" s="6"/>
    </row>
    <row r="246" spans="1:2">
      <c r="A246" s="6"/>
      <c r="B246" s="6"/>
    </row>
    <row r="247" spans="1:2">
      <c r="A247" s="6"/>
      <c r="B247" s="2"/>
    </row>
    <row r="248" spans="1:2">
      <c r="A248" s="2"/>
      <c r="B248" s="2"/>
    </row>
    <row r="249" spans="1:2">
      <c r="A249" s="2"/>
      <c r="B249" s="2"/>
    </row>
    <row r="250" spans="1:2">
      <c r="A250" s="6"/>
      <c r="B250" s="2"/>
    </row>
    <row r="251" spans="1:2">
      <c r="A251" s="2"/>
      <c r="B251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workbookViewId="0">
      <selection activeCell="F23" sqref="F23"/>
    </sheetView>
  </sheetViews>
  <sheetFormatPr defaultColWidth="9" defaultRowHeight="14" outlineLevelRow="7"/>
  <cols>
    <col min="1" max="1" width="8.88333333333333" style="2"/>
    <col min="2" max="2" width="28.775" style="2" customWidth="1"/>
    <col min="3" max="3" width="8.88333333333333" style="2"/>
    <col min="4" max="4" width="13" style="2" customWidth="1"/>
    <col min="5" max="5" width="12" style="2" customWidth="1"/>
    <col min="6" max="8" width="12.8833333333333" style="2" customWidth="1"/>
    <col min="9" max="9" width="14.5583333333333" style="2" customWidth="1"/>
    <col min="10" max="10" width="13.5583333333333" style="2" customWidth="1"/>
    <col min="11" max="11" width="13.775" style="2" customWidth="1"/>
    <col min="12" max="12" width="14" style="2" customWidth="1"/>
    <col min="13" max="17" width="8.88333333333333" style="2"/>
    <col min="18" max="18" width="12.775" style="2" customWidth="1"/>
    <col min="19" max="19" width="13.4416666666667" style="2" customWidth="1"/>
    <col min="20" max="20" width="11.4416666666667" style="2" customWidth="1"/>
    <col min="21" max="16384" width="8.88333333333333" style="2"/>
  </cols>
  <sheetData>
    <row r="1" ht="42" spans="1:20">
      <c r="A1" s="3" t="s">
        <v>282</v>
      </c>
      <c r="B1" s="3" t="s">
        <v>434</v>
      </c>
      <c r="C1" s="3" t="s">
        <v>283</v>
      </c>
      <c r="D1" s="4" t="s">
        <v>570</v>
      </c>
      <c r="E1" s="4" t="s">
        <v>571</v>
      </c>
      <c r="F1" s="4" t="s">
        <v>329</v>
      </c>
      <c r="G1" s="4" t="s">
        <v>572</v>
      </c>
      <c r="H1" s="4" t="s">
        <v>573</v>
      </c>
      <c r="I1" s="3" t="s">
        <v>287</v>
      </c>
      <c r="J1" s="5" t="s">
        <v>574</v>
      </c>
      <c r="K1" s="4" t="s">
        <v>475</v>
      </c>
      <c r="L1" s="4" t="s">
        <v>575</v>
      </c>
      <c r="M1" s="5" t="s">
        <v>576</v>
      </c>
      <c r="N1" s="4" t="s">
        <v>577</v>
      </c>
      <c r="O1" s="4" t="s">
        <v>578</v>
      </c>
      <c r="P1" s="7" t="s">
        <v>501</v>
      </c>
      <c r="Q1" s="5" t="s">
        <v>576</v>
      </c>
      <c r="R1" s="4" t="s">
        <v>475</v>
      </c>
      <c r="S1" s="5" t="s">
        <v>574</v>
      </c>
      <c r="T1" s="4" t="s">
        <v>579</v>
      </c>
    </row>
    <row r="2" spans="1:14">
      <c r="A2" s="2">
        <v>1</v>
      </c>
      <c r="B2" s="2" t="s">
        <v>580</v>
      </c>
      <c r="C2" s="2">
        <v>2013</v>
      </c>
      <c r="F2" s="6">
        <v>231.5832</v>
      </c>
      <c r="G2" s="6">
        <v>10.8611</v>
      </c>
      <c r="H2" s="6"/>
      <c r="I2" s="2">
        <v>64612.523</v>
      </c>
      <c r="J2" s="2">
        <v>33966.8</v>
      </c>
      <c r="K2" s="2">
        <v>5040.9</v>
      </c>
      <c r="M2" s="2">
        <v>39008</v>
      </c>
      <c r="N2" s="2">
        <v>36625</v>
      </c>
    </row>
    <row r="3" spans="3:14">
      <c r="C3" s="2">
        <v>2014</v>
      </c>
      <c r="F3" s="6">
        <v>189.8213</v>
      </c>
      <c r="G3" s="6">
        <v>7.9147</v>
      </c>
      <c r="H3" s="6"/>
      <c r="I3" s="2">
        <v>53405.076</v>
      </c>
      <c r="J3" s="2">
        <v>28075</v>
      </c>
      <c r="K3" s="2">
        <v>4128.8</v>
      </c>
      <c r="M3" s="2">
        <v>32204</v>
      </c>
      <c r="N3" s="2">
        <v>20028</v>
      </c>
    </row>
    <row r="4" spans="3:14">
      <c r="C4" s="2">
        <v>2015</v>
      </c>
      <c r="F4" s="6">
        <v>157.7637</v>
      </c>
      <c r="G4" s="6">
        <v>7.5883</v>
      </c>
      <c r="H4" s="6"/>
      <c r="I4" s="2">
        <v>43952.024</v>
      </c>
      <c r="J4" s="2">
        <v>23105.6</v>
      </c>
      <c r="K4" s="2">
        <v>3434.6</v>
      </c>
      <c r="M4" s="2">
        <v>26540</v>
      </c>
      <c r="N4" s="2">
        <v>17050</v>
      </c>
    </row>
    <row r="5" spans="1:15">
      <c r="A5" s="2">
        <v>2</v>
      </c>
      <c r="B5" s="2" t="s">
        <v>581</v>
      </c>
      <c r="C5" s="2">
        <v>2016</v>
      </c>
      <c r="F5" s="2">
        <v>892.3782</v>
      </c>
      <c r="I5" s="6">
        <v>46177.7</v>
      </c>
      <c r="J5" s="6">
        <v>24275.62</v>
      </c>
      <c r="K5" s="6">
        <v>19294.9</v>
      </c>
      <c r="M5" s="2">
        <v>43571</v>
      </c>
      <c r="O5" s="2">
        <v>45749.4</v>
      </c>
    </row>
    <row r="6" spans="3:15">
      <c r="C6" s="2">
        <v>2017</v>
      </c>
      <c r="F6" s="2">
        <v>1118.0954</v>
      </c>
      <c r="I6" s="6">
        <v>47952</v>
      </c>
      <c r="J6" s="6">
        <v>25208.37</v>
      </c>
      <c r="K6" s="6">
        <v>24175.33</v>
      </c>
      <c r="M6" s="2">
        <v>49384</v>
      </c>
      <c r="O6" s="2">
        <v>49066.3</v>
      </c>
    </row>
    <row r="7" spans="3:15">
      <c r="C7" s="2">
        <v>2018</v>
      </c>
      <c r="F7" s="2">
        <v>1139.4527</v>
      </c>
      <c r="I7" s="6">
        <v>50657.5</v>
      </c>
      <c r="J7" s="6">
        <v>26630.65</v>
      </c>
      <c r="K7" s="6">
        <v>24637.12</v>
      </c>
      <c r="M7" s="6">
        <v>51268</v>
      </c>
      <c r="O7" s="2">
        <v>51780.5</v>
      </c>
    </row>
    <row r="8" spans="1:20">
      <c r="A8" s="2">
        <v>3</v>
      </c>
      <c r="B8" s="2" t="s">
        <v>582</v>
      </c>
      <c r="C8" s="2">
        <v>2016</v>
      </c>
      <c r="D8" s="2">
        <v>20710.5</v>
      </c>
      <c r="E8" s="2">
        <v>44398.89</v>
      </c>
      <c r="F8" s="2">
        <v>1214.3809</v>
      </c>
      <c r="G8" s="2">
        <v>3933.75</v>
      </c>
      <c r="H8" s="2">
        <v>228.055</v>
      </c>
      <c r="I8" s="2">
        <v>800896.59</v>
      </c>
      <c r="J8" s="2">
        <v>421031.34</v>
      </c>
      <c r="K8" s="2">
        <v>116434.58</v>
      </c>
      <c r="L8" s="2">
        <v>39847</v>
      </c>
      <c r="M8" s="2">
        <v>577313</v>
      </c>
      <c r="Q8" s="2">
        <v>592216</v>
      </c>
      <c r="R8" s="2">
        <v>103588.96</v>
      </c>
      <c r="S8" s="2">
        <v>488627.01</v>
      </c>
      <c r="T8" s="2">
        <v>428988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2"/>
  <sheetViews>
    <sheetView topLeftCell="A667" workbookViewId="0">
      <selection activeCell="L692" sqref="L692"/>
    </sheetView>
  </sheetViews>
  <sheetFormatPr defaultColWidth="9" defaultRowHeight="14" outlineLevelCol="1"/>
  <sheetData>
    <row r="1" spans="1:2">
      <c r="A1" t="s">
        <v>569</v>
      </c>
      <c r="B1" t="s">
        <v>568</v>
      </c>
    </row>
    <row r="2" spans="1:2">
      <c r="A2">
        <v>49257</v>
      </c>
      <c r="B2">
        <v>27778.4625925321</v>
      </c>
    </row>
    <row r="3" spans="1:2">
      <c r="A3">
        <v>40147</v>
      </c>
      <c r="B3">
        <v>22963.4207917507</v>
      </c>
    </row>
    <row r="4" spans="1:2">
      <c r="A4">
        <v>41560</v>
      </c>
      <c r="B4">
        <v>24078.4268134749</v>
      </c>
    </row>
    <row r="5" spans="1:2">
      <c r="A5">
        <v>48052</v>
      </c>
      <c r="B5">
        <v>27109.795886189</v>
      </c>
    </row>
    <row r="6" spans="1:2">
      <c r="A6">
        <v>41152</v>
      </c>
      <c r="B6">
        <v>23723.2014522056</v>
      </c>
    </row>
    <row r="7" spans="1:2">
      <c r="A7">
        <v>35969</v>
      </c>
      <c r="B7">
        <v>22086.832701763</v>
      </c>
    </row>
    <row r="8" spans="1:2">
      <c r="A8">
        <v>22758</v>
      </c>
      <c r="B8">
        <v>13520.7475706142</v>
      </c>
    </row>
    <row r="9" spans="1:2">
      <c r="A9">
        <v>18025</v>
      </c>
      <c r="B9">
        <v>10854.3962830271</v>
      </c>
    </row>
    <row r="10" spans="1:2">
      <c r="A10">
        <v>14994</v>
      </c>
      <c r="B10">
        <v>9000.32479995469</v>
      </c>
    </row>
    <row r="11" spans="1:2">
      <c r="A11">
        <v>49807</v>
      </c>
      <c r="B11">
        <v>28620.3013179522</v>
      </c>
    </row>
    <row r="12" spans="1:2">
      <c r="A12">
        <v>30443</v>
      </c>
      <c r="B12">
        <v>18900.2714440983</v>
      </c>
    </row>
    <row r="13" spans="1:2">
      <c r="A13">
        <v>29572</v>
      </c>
      <c r="B13">
        <v>17675.1298837377</v>
      </c>
    </row>
    <row r="14" spans="1:2">
      <c r="A14">
        <v>17373</v>
      </c>
      <c r="B14">
        <v>9884.00066315368</v>
      </c>
    </row>
    <row r="15" spans="1:2">
      <c r="A15">
        <v>38045</v>
      </c>
      <c r="B15">
        <v>21275.5244405587</v>
      </c>
    </row>
    <row r="16" spans="1:2">
      <c r="A16">
        <v>14044</v>
      </c>
      <c r="B16">
        <v>8571.30869500015</v>
      </c>
    </row>
    <row r="17" spans="1:2">
      <c r="A17">
        <v>46012</v>
      </c>
      <c r="B17">
        <v>27386.3377808949</v>
      </c>
    </row>
    <row r="18" spans="1:2">
      <c r="A18">
        <v>37780</v>
      </c>
      <c r="B18">
        <v>22014.715560224</v>
      </c>
    </row>
    <row r="19" spans="1:2">
      <c r="A19">
        <v>36515</v>
      </c>
      <c r="B19">
        <v>21852.8535967991</v>
      </c>
    </row>
    <row r="20" spans="1:2">
      <c r="A20">
        <v>48440</v>
      </c>
      <c r="B20">
        <v>28500.6039691679</v>
      </c>
    </row>
    <row r="21" spans="1:2">
      <c r="A21">
        <v>51239</v>
      </c>
      <c r="B21">
        <v>28725.7669692506</v>
      </c>
    </row>
    <row r="22" spans="1:2">
      <c r="A22">
        <v>37145</v>
      </c>
      <c r="B22">
        <v>21453.8600047184</v>
      </c>
    </row>
    <row r="23" spans="1:2">
      <c r="A23">
        <v>13959</v>
      </c>
      <c r="B23">
        <v>7904.87720703189</v>
      </c>
    </row>
    <row r="24" spans="1:2">
      <c r="A24">
        <v>46473</v>
      </c>
      <c r="B24">
        <v>28319.9457485496</v>
      </c>
    </row>
    <row r="25" spans="1:2">
      <c r="A25">
        <v>24832</v>
      </c>
      <c r="B25">
        <v>15048.941351161</v>
      </c>
    </row>
    <row r="26" spans="1:2">
      <c r="A26">
        <v>31074</v>
      </c>
      <c r="B26">
        <v>17683.4211330556</v>
      </c>
    </row>
    <row r="27" spans="1:2">
      <c r="A27">
        <v>49977</v>
      </c>
      <c r="B27">
        <v>29491.9155658971</v>
      </c>
    </row>
    <row r="28" spans="1:2">
      <c r="A28">
        <v>37053</v>
      </c>
      <c r="B28">
        <v>21043.4677920734</v>
      </c>
    </row>
    <row r="29" spans="1:2">
      <c r="A29">
        <v>11760</v>
      </c>
      <c r="B29">
        <v>6788.90142163154</v>
      </c>
    </row>
    <row r="30" spans="1:2">
      <c r="A30">
        <v>33477</v>
      </c>
      <c r="B30">
        <v>20862.8536716044</v>
      </c>
    </row>
    <row r="31" spans="1:2">
      <c r="A31">
        <v>41894</v>
      </c>
      <c r="B31">
        <v>25294.9706877878</v>
      </c>
    </row>
    <row r="32" spans="1:2">
      <c r="A32">
        <v>49249</v>
      </c>
      <c r="B32">
        <v>28675.6755774575</v>
      </c>
    </row>
    <row r="33" spans="1:2">
      <c r="A33">
        <v>29839</v>
      </c>
      <c r="B33">
        <v>18077.4680788308</v>
      </c>
    </row>
    <row r="34" spans="1:2">
      <c r="A34">
        <v>44979</v>
      </c>
      <c r="B34">
        <v>24969.220705827</v>
      </c>
    </row>
    <row r="35" spans="1:2">
      <c r="A35">
        <v>27280</v>
      </c>
      <c r="B35">
        <v>16150.7971966413</v>
      </c>
    </row>
    <row r="36" spans="1:2">
      <c r="A36">
        <v>47300</v>
      </c>
      <c r="B36">
        <v>27430.4024259006</v>
      </c>
    </row>
    <row r="37" spans="1:2">
      <c r="A37">
        <v>43635</v>
      </c>
      <c r="B37">
        <v>26508.9383617603</v>
      </c>
    </row>
    <row r="38" spans="1:2">
      <c r="A38">
        <v>30790</v>
      </c>
      <c r="B38">
        <v>18407.9707425941</v>
      </c>
    </row>
    <row r="39" spans="1:2">
      <c r="A39">
        <v>37186</v>
      </c>
      <c r="B39">
        <v>22663.79891655</v>
      </c>
    </row>
    <row r="40" spans="1:2">
      <c r="A40">
        <v>38399</v>
      </c>
      <c r="B40">
        <v>23705.6414969023</v>
      </c>
    </row>
    <row r="41" spans="1:2">
      <c r="A41">
        <v>37558</v>
      </c>
      <c r="B41">
        <v>21855.8684615421</v>
      </c>
    </row>
    <row r="42" spans="1:2">
      <c r="A42">
        <v>41818</v>
      </c>
      <c r="B42">
        <v>25783.9118961979</v>
      </c>
    </row>
    <row r="43" spans="1:2">
      <c r="A43">
        <v>33345</v>
      </c>
      <c r="B43">
        <v>20421.8039692149</v>
      </c>
    </row>
    <row r="44" spans="1:2">
      <c r="A44">
        <v>46368</v>
      </c>
      <c r="B44">
        <v>25826.5478497762</v>
      </c>
    </row>
    <row r="45" spans="1:2">
      <c r="A45">
        <v>30633</v>
      </c>
      <c r="B45">
        <v>18635.9011477904</v>
      </c>
    </row>
    <row r="46" spans="1:2">
      <c r="A46">
        <v>23621</v>
      </c>
      <c r="B46">
        <v>15389.4579803711</v>
      </c>
    </row>
    <row r="47" spans="1:2">
      <c r="A47">
        <v>21357</v>
      </c>
      <c r="B47">
        <v>11881.2622146979</v>
      </c>
    </row>
    <row r="48" spans="1:2">
      <c r="A48">
        <v>40474</v>
      </c>
      <c r="B48">
        <v>24870.3352665953</v>
      </c>
    </row>
    <row r="49" spans="1:2">
      <c r="A49">
        <v>28385</v>
      </c>
      <c r="B49">
        <v>16179.7452669638</v>
      </c>
    </row>
    <row r="50" spans="1:2">
      <c r="A50">
        <v>24341</v>
      </c>
      <c r="B50">
        <v>13487.4867905418</v>
      </c>
    </row>
    <row r="51" spans="1:2">
      <c r="A51">
        <v>13137</v>
      </c>
      <c r="B51">
        <v>8171.92939373602</v>
      </c>
    </row>
    <row r="52" spans="1:2">
      <c r="A52">
        <v>21345</v>
      </c>
      <c r="B52">
        <v>12040.3145490923</v>
      </c>
    </row>
    <row r="53" spans="1:2">
      <c r="A53">
        <v>6800</v>
      </c>
      <c r="B53">
        <v>4190.76218217636</v>
      </c>
    </row>
    <row r="54" spans="1:2">
      <c r="A54">
        <v>21206</v>
      </c>
      <c r="B54">
        <v>11993.3745651738</v>
      </c>
    </row>
    <row r="55" spans="1:2">
      <c r="A55">
        <v>25908</v>
      </c>
      <c r="B55">
        <v>14680.447223308</v>
      </c>
    </row>
    <row r="56" spans="1:2">
      <c r="A56">
        <v>37329</v>
      </c>
      <c r="B56">
        <v>21816.5106046495</v>
      </c>
    </row>
    <row r="57" spans="1:2">
      <c r="A57">
        <v>43006</v>
      </c>
      <c r="B57">
        <v>24502.3582216203</v>
      </c>
    </row>
    <row r="58" spans="1:2">
      <c r="A58">
        <v>32558</v>
      </c>
      <c r="B58">
        <v>18199.4528532656</v>
      </c>
    </row>
    <row r="59" spans="1:2">
      <c r="A59">
        <v>48359</v>
      </c>
      <c r="B59">
        <v>26883.6300453566</v>
      </c>
    </row>
    <row r="60" spans="1:2">
      <c r="A60">
        <v>48842</v>
      </c>
      <c r="B60">
        <v>29275.5271101148</v>
      </c>
    </row>
    <row r="61" spans="1:2">
      <c r="A61">
        <v>50575</v>
      </c>
      <c r="B61">
        <v>30124.5726328759</v>
      </c>
    </row>
    <row r="62" spans="1:2">
      <c r="A62">
        <v>34746</v>
      </c>
      <c r="B62">
        <v>21900.3368813016</v>
      </c>
    </row>
    <row r="63" spans="1:2">
      <c r="A63">
        <v>31337</v>
      </c>
      <c r="B63">
        <v>19026.8331761283</v>
      </c>
    </row>
    <row r="64" spans="1:2">
      <c r="A64">
        <v>48549</v>
      </c>
      <c r="B64">
        <v>27611.6114716303</v>
      </c>
    </row>
    <row r="65" spans="1:2">
      <c r="A65">
        <v>49173</v>
      </c>
      <c r="B65">
        <v>28822.4220641516</v>
      </c>
    </row>
    <row r="66" spans="1:2">
      <c r="A66">
        <v>29163</v>
      </c>
      <c r="B66">
        <v>16315.5141363151</v>
      </c>
    </row>
    <row r="67" spans="1:2">
      <c r="A67">
        <v>47619</v>
      </c>
      <c r="B67">
        <v>28829.0067913071</v>
      </c>
    </row>
    <row r="68" spans="1:2">
      <c r="A68">
        <v>46747</v>
      </c>
      <c r="B68">
        <v>26245.9246748598</v>
      </c>
    </row>
    <row r="69" spans="1:2">
      <c r="A69">
        <v>26260</v>
      </c>
      <c r="B69">
        <v>16573.3696392114</v>
      </c>
    </row>
    <row r="70" spans="1:2">
      <c r="A70">
        <v>30693</v>
      </c>
      <c r="B70">
        <v>20027.4517846761</v>
      </c>
    </row>
    <row r="71" spans="1:2">
      <c r="A71">
        <v>28535</v>
      </c>
      <c r="B71">
        <v>16664.0745410732</v>
      </c>
    </row>
    <row r="72" spans="1:2">
      <c r="A72">
        <v>32269</v>
      </c>
      <c r="B72">
        <v>18560.2001760899</v>
      </c>
    </row>
    <row r="73" spans="1:2">
      <c r="A73">
        <v>6331</v>
      </c>
      <c r="B73">
        <v>3944.01168664156</v>
      </c>
    </row>
    <row r="74" spans="1:2">
      <c r="A74">
        <v>11144</v>
      </c>
      <c r="B74">
        <v>7242.06182151432</v>
      </c>
    </row>
    <row r="75" spans="1:2">
      <c r="A75">
        <v>33723</v>
      </c>
      <c r="B75">
        <v>20386.1373908386</v>
      </c>
    </row>
    <row r="76" spans="1:2">
      <c r="A76">
        <v>32015</v>
      </c>
      <c r="B76">
        <v>20149.5390186788</v>
      </c>
    </row>
    <row r="77" spans="1:2">
      <c r="A77">
        <v>27781</v>
      </c>
      <c r="B77">
        <v>15604.1234669139</v>
      </c>
    </row>
    <row r="78" spans="1:2">
      <c r="A78">
        <v>35508</v>
      </c>
      <c r="B78">
        <v>20171.1564872931</v>
      </c>
    </row>
    <row r="79" spans="1:2">
      <c r="A79">
        <v>17628</v>
      </c>
      <c r="B79">
        <v>10803.7712056664</v>
      </c>
    </row>
    <row r="80" spans="1:2">
      <c r="A80">
        <v>45097</v>
      </c>
      <c r="B80">
        <v>26859.3473623248</v>
      </c>
    </row>
    <row r="81" spans="1:2">
      <c r="A81">
        <v>28426</v>
      </c>
      <c r="B81">
        <v>18669.9404229012</v>
      </c>
    </row>
    <row r="82" spans="1:2">
      <c r="A82">
        <v>12321</v>
      </c>
      <c r="B82">
        <v>6901.49990933442</v>
      </c>
    </row>
    <row r="83" spans="1:2">
      <c r="A83">
        <v>13163</v>
      </c>
      <c r="B83">
        <v>8185.46107791673</v>
      </c>
    </row>
    <row r="84" spans="1:2">
      <c r="A84">
        <v>41916</v>
      </c>
      <c r="B84">
        <v>24188.2339827003</v>
      </c>
    </row>
    <row r="85" spans="1:2">
      <c r="A85">
        <v>31008</v>
      </c>
      <c r="B85">
        <v>18275.4072460015</v>
      </c>
    </row>
    <row r="86" spans="1:2">
      <c r="A86">
        <v>39149</v>
      </c>
      <c r="B86">
        <v>23911.6250316567</v>
      </c>
    </row>
    <row r="87" spans="1:2">
      <c r="A87">
        <v>22125</v>
      </c>
      <c r="B87">
        <v>12850.7929022491</v>
      </c>
    </row>
    <row r="88" spans="1:2">
      <c r="A88">
        <v>26904</v>
      </c>
      <c r="B88">
        <v>14895.5703186711</v>
      </c>
    </row>
    <row r="89" spans="1:2">
      <c r="A89">
        <v>35307</v>
      </c>
      <c r="B89">
        <v>21021.0736046437</v>
      </c>
    </row>
    <row r="90" spans="1:2">
      <c r="A90">
        <v>32998</v>
      </c>
      <c r="B90">
        <v>19990.3582141955</v>
      </c>
    </row>
    <row r="91" spans="1:2">
      <c r="A91">
        <v>40685</v>
      </c>
      <c r="B91">
        <v>24986.6842475452</v>
      </c>
    </row>
    <row r="92" spans="1:2">
      <c r="A92">
        <v>30163</v>
      </c>
      <c r="B92">
        <v>17345.7591825447</v>
      </c>
    </row>
    <row r="93" spans="1:2">
      <c r="A93">
        <v>29874</v>
      </c>
      <c r="B93">
        <v>19461.9209157098</v>
      </c>
    </row>
    <row r="94" spans="1:2">
      <c r="A94">
        <v>50290</v>
      </c>
      <c r="B94">
        <v>29971.2199596429</v>
      </c>
    </row>
    <row r="95" spans="1:2">
      <c r="A95">
        <v>29845</v>
      </c>
      <c r="B95">
        <v>19002.1469253959</v>
      </c>
    </row>
    <row r="96" spans="1:2">
      <c r="A96">
        <v>33541</v>
      </c>
      <c r="B96">
        <v>20103.2058293742</v>
      </c>
    </row>
    <row r="97" spans="1:2">
      <c r="A97">
        <v>31759</v>
      </c>
      <c r="B97">
        <v>20357.0716392218</v>
      </c>
    </row>
    <row r="98" spans="1:2">
      <c r="A98">
        <v>15291</v>
      </c>
      <c r="B98">
        <v>8771.47058281126</v>
      </c>
    </row>
    <row r="99" spans="1:2">
      <c r="A99">
        <v>16968</v>
      </c>
      <c r="B99">
        <v>11052.9163732027</v>
      </c>
    </row>
    <row r="100" spans="1:2">
      <c r="A100">
        <v>33072</v>
      </c>
      <c r="B100">
        <v>21268.9489983178</v>
      </c>
    </row>
    <row r="101" spans="1:2">
      <c r="A101">
        <v>9074</v>
      </c>
      <c r="B101">
        <v>5849.01343282646</v>
      </c>
    </row>
    <row r="102" spans="1:2">
      <c r="A102">
        <v>50699</v>
      </c>
      <c r="B102">
        <v>28892.3801327495</v>
      </c>
    </row>
    <row r="103" spans="1:2">
      <c r="A103">
        <v>48055</v>
      </c>
      <c r="B103">
        <v>26611.3486369899</v>
      </c>
    </row>
    <row r="104" spans="1:2">
      <c r="A104">
        <v>8641</v>
      </c>
      <c r="B104">
        <v>4797.15297164652</v>
      </c>
    </row>
    <row r="105" spans="1:2">
      <c r="A105">
        <v>36858</v>
      </c>
      <c r="B105">
        <v>22024.2470730541</v>
      </c>
    </row>
    <row r="106" spans="1:2">
      <c r="A106">
        <v>16817</v>
      </c>
      <c r="B106">
        <v>10034.6713537392</v>
      </c>
    </row>
    <row r="107" spans="1:2">
      <c r="A107">
        <v>39052</v>
      </c>
      <c r="B107">
        <v>22985.1912995524</v>
      </c>
    </row>
    <row r="108" spans="1:2">
      <c r="A108">
        <v>42289</v>
      </c>
      <c r="B108">
        <v>25580.2287777799</v>
      </c>
    </row>
    <row r="109" spans="1:2">
      <c r="A109">
        <v>41402</v>
      </c>
      <c r="B109">
        <v>23110.1011783373</v>
      </c>
    </row>
    <row r="110" spans="1:2">
      <c r="A110">
        <v>7668</v>
      </c>
      <c r="B110">
        <v>5013.88541355717</v>
      </c>
    </row>
    <row r="111" spans="1:2">
      <c r="A111">
        <v>35047</v>
      </c>
      <c r="B111">
        <v>21113.4585076661</v>
      </c>
    </row>
    <row r="112" spans="1:2">
      <c r="A112">
        <v>43487</v>
      </c>
      <c r="B112">
        <v>25353.4622634233</v>
      </c>
    </row>
    <row r="113" spans="1:2">
      <c r="A113">
        <v>33454</v>
      </c>
      <c r="B113">
        <v>19594.7468104567</v>
      </c>
    </row>
    <row r="114" spans="1:2">
      <c r="A114">
        <v>28513</v>
      </c>
      <c r="B114">
        <v>17273.1420742926</v>
      </c>
    </row>
    <row r="115" spans="1:2">
      <c r="A115">
        <v>44650</v>
      </c>
      <c r="B115">
        <v>26700.6337414569</v>
      </c>
    </row>
    <row r="116" spans="1:2">
      <c r="A116">
        <v>23957</v>
      </c>
      <c r="B116">
        <v>14865.9585817787</v>
      </c>
    </row>
    <row r="117" spans="1:2">
      <c r="A117">
        <v>12327</v>
      </c>
      <c r="B117">
        <v>7283.05849337192</v>
      </c>
    </row>
    <row r="118" spans="1:2">
      <c r="A118">
        <v>22515</v>
      </c>
      <c r="B118">
        <v>13796.5389044025</v>
      </c>
    </row>
    <row r="119" spans="1:2">
      <c r="A119">
        <v>40900</v>
      </c>
      <c r="B119">
        <v>23939.2803839586</v>
      </c>
    </row>
    <row r="120" spans="1:2">
      <c r="A120">
        <v>32258</v>
      </c>
      <c r="B120">
        <v>17881.1432325423</v>
      </c>
    </row>
    <row r="121" spans="1:2">
      <c r="A121">
        <v>25916</v>
      </c>
      <c r="B121">
        <v>15022.6131616931</v>
      </c>
    </row>
    <row r="122" spans="1:2">
      <c r="A122">
        <v>48769</v>
      </c>
      <c r="B122">
        <v>28021.6407733148</v>
      </c>
    </row>
    <row r="123" spans="1:2">
      <c r="A123">
        <v>21763</v>
      </c>
      <c r="B123">
        <v>13881.7046740528</v>
      </c>
    </row>
    <row r="124" spans="1:2">
      <c r="A124">
        <v>45003</v>
      </c>
      <c r="B124">
        <v>27565.8950447538</v>
      </c>
    </row>
    <row r="125" spans="1:2">
      <c r="A125">
        <v>37334</v>
      </c>
      <c r="B125">
        <v>21298.7353747677</v>
      </c>
    </row>
    <row r="126" spans="1:2">
      <c r="A126">
        <v>44678</v>
      </c>
      <c r="B126">
        <v>26768.8530729173</v>
      </c>
    </row>
    <row r="127" spans="1:2">
      <c r="A127">
        <v>31483</v>
      </c>
      <c r="B127">
        <v>19833.5533374221</v>
      </c>
    </row>
    <row r="128" spans="1:2">
      <c r="A128">
        <v>48614</v>
      </c>
      <c r="B128">
        <v>27859.2886560035</v>
      </c>
    </row>
    <row r="129" spans="1:2">
      <c r="A129">
        <v>35161</v>
      </c>
      <c r="B129">
        <v>20457.6049252223</v>
      </c>
    </row>
    <row r="130" spans="1:2">
      <c r="A130">
        <v>14630</v>
      </c>
      <c r="B130">
        <v>8747.89185773929</v>
      </c>
    </row>
    <row r="131" spans="1:2">
      <c r="A131">
        <v>48075</v>
      </c>
      <c r="B131">
        <v>26846.4790373563</v>
      </c>
    </row>
    <row r="132" spans="1:2">
      <c r="A132">
        <v>14316</v>
      </c>
      <c r="B132">
        <v>9126.00904258112</v>
      </c>
    </row>
    <row r="133" spans="1:2">
      <c r="A133">
        <v>33590</v>
      </c>
      <c r="B133">
        <v>21332.8401527998</v>
      </c>
    </row>
    <row r="134" spans="1:2">
      <c r="A134">
        <v>47172</v>
      </c>
      <c r="B134">
        <v>27253.034964716</v>
      </c>
    </row>
    <row r="135" spans="1:2">
      <c r="A135">
        <v>6940</v>
      </c>
      <c r="B135">
        <v>3927.53136841315</v>
      </c>
    </row>
    <row r="136" spans="1:2">
      <c r="A136">
        <v>47060</v>
      </c>
      <c r="B136">
        <v>26355.2721892363</v>
      </c>
    </row>
    <row r="137" spans="1:2">
      <c r="A137">
        <v>30031</v>
      </c>
      <c r="B137">
        <v>18159.1081371067</v>
      </c>
    </row>
    <row r="138" spans="1:2">
      <c r="A138">
        <v>50030</v>
      </c>
      <c r="B138">
        <v>29135.3205021507</v>
      </c>
    </row>
    <row r="139" spans="1:2">
      <c r="A139">
        <v>22835</v>
      </c>
      <c r="B139">
        <v>13780.5941624649</v>
      </c>
    </row>
    <row r="140" spans="1:2">
      <c r="A140">
        <v>20936</v>
      </c>
      <c r="B140">
        <v>11622.9504084045</v>
      </c>
    </row>
    <row r="141" spans="1:2">
      <c r="A141">
        <v>45694</v>
      </c>
      <c r="B141">
        <v>27450.0293866092</v>
      </c>
    </row>
    <row r="142" spans="1:2">
      <c r="A142">
        <v>22852</v>
      </c>
      <c r="B142">
        <v>13747.4358162232</v>
      </c>
    </row>
    <row r="143" spans="1:2">
      <c r="A143">
        <v>20003</v>
      </c>
      <c r="B143">
        <v>12998.6508270991</v>
      </c>
    </row>
    <row r="144" spans="1:2">
      <c r="A144">
        <v>8008</v>
      </c>
      <c r="B144">
        <v>4534.27664565681</v>
      </c>
    </row>
    <row r="145" spans="1:2">
      <c r="A145">
        <v>23296</v>
      </c>
      <c r="B145">
        <v>14460.6540038849</v>
      </c>
    </row>
    <row r="146" spans="1:2">
      <c r="A146">
        <v>25025</v>
      </c>
      <c r="B146">
        <v>15133.3744706542</v>
      </c>
    </row>
    <row r="147" spans="1:2">
      <c r="A147">
        <v>34758</v>
      </c>
      <c r="B147">
        <v>19837.3306125213</v>
      </c>
    </row>
    <row r="148" spans="1:2">
      <c r="A148">
        <v>39231</v>
      </c>
      <c r="B148">
        <v>22214.541858403</v>
      </c>
    </row>
    <row r="149" spans="1:2">
      <c r="A149">
        <v>29568</v>
      </c>
      <c r="B149">
        <v>16456.6570325896</v>
      </c>
    </row>
    <row r="150" spans="1:2">
      <c r="A150">
        <v>47606</v>
      </c>
      <c r="B150">
        <v>27067.6486867645</v>
      </c>
    </row>
    <row r="151" spans="1:2">
      <c r="A151">
        <v>22098</v>
      </c>
      <c r="B151">
        <v>13469.5088285956</v>
      </c>
    </row>
    <row r="152" spans="1:2">
      <c r="A152">
        <v>51278</v>
      </c>
      <c r="B152">
        <v>28693.6813716977</v>
      </c>
    </row>
    <row r="153" spans="1:2">
      <c r="A153">
        <v>37597</v>
      </c>
      <c r="B153">
        <v>22362.3116188026</v>
      </c>
    </row>
    <row r="154" spans="1:2">
      <c r="A154">
        <v>25744</v>
      </c>
      <c r="B154">
        <v>15326.7144925763</v>
      </c>
    </row>
    <row r="155" spans="1:2">
      <c r="A155">
        <v>26568</v>
      </c>
      <c r="B155">
        <v>16622.9336009327</v>
      </c>
    </row>
    <row r="156" spans="1:2">
      <c r="A156">
        <v>42360</v>
      </c>
      <c r="B156">
        <v>24912.7486690356</v>
      </c>
    </row>
    <row r="157" spans="1:2">
      <c r="A157">
        <v>18688</v>
      </c>
      <c r="B157">
        <v>11607.0863244145</v>
      </c>
    </row>
    <row r="158" spans="1:2">
      <c r="A158">
        <v>45364</v>
      </c>
      <c r="B158">
        <v>26371.039969628</v>
      </c>
    </row>
    <row r="159" spans="1:2">
      <c r="A159">
        <v>36589</v>
      </c>
      <c r="B159">
        <v>20367.6861224773</v>
      </c>
    </row>
    <row r="160" spans="1:2">
      <c r="A160">
        <v>44968</v>
      </c>
      <c r="B160">
        <v>26578.179924657</v>
      </c>
    </row>
    <row r="161" spans="1:2">
      <c r="A161">
        <v>20784</v>
      </c>
      <c r="B161">
        <v>13501.8239757352</v>
      </c>
    </row>
    <row r="162" spans="1:2">
      <c r="A162">
        <v>46150</v>
      </c>
      <c r="B162">
        <v>26079.3397194624</v>
      </c>
    </row>
    <row r="163" spans="1:2">
      <c r="A163">
        <v>34821</v>
      </c>
      <c r="B163">
        <v>21640.2873355306</v>
      </c>
    </row>
    <row r="164" spans="1:2">
      <c r="A164">
        <v>28602</v>
      </c>
      <c r="B164">
        <v>17485.2851386767</v>
      </c>
    </row>
    <row r="165" spans="1:2">
      <c r="A165">
        <v>16580</v>
      </c>
      <c r="B165">
        <v>9496.86191089252</v>
      </c>
    </row>
    <row r="166" spans="1:2">
      <c r="A166">
        <v>39873</v>
      </c>
      <c r="B166">
        <v>24603.6159613328</v>
      </c>
    </row>
    <row r="167" spans="1:2">
      <c r="A167">
        <v>14358</v>
      </c>
      <c r="B167">
        <v>9295.26478231665</v>
      </c>
    </row>
    <row r="168" spans="1:2">
      <c r="A168">
        <v>15228</v>
      </c>
      <c r="B168">
        <v>9271.83626288686</v>
      </c>
    </row>
    <row r="169" spans="1:2">
      <c r="A169">
        <v>29841</v>
      </c>
      <c r="B169">
        <v>18897.6661119935</v>
      </c>
    </row>
    <row r="170" spans="1:2">
      <c r="A170">
        <v>16104</v>
      </c>
      <c r="B170">
        <v>10561.9644610816</v>
      </c>
    </row>
    <row r="171" spans="1:2">
      <c r="A171">
        <v>31399</v>
      </c>
      <c r="B171">
        <v>17841.1104860735</v>
      </c>
    </row>
    <row r="172" spans="1:2">
      <c r="A172">
        <v>34546</v>
      </c>
      <c r="B172">
        <v>20723.3977520075</v>
      </c>
    </row>
    <row r="173" spans="1:2">
      <c r="A173">
        <v>43488</v>
      </c>
      <c r="B173">
        <v>24531.843666033</v>
      </c>
    </row>
    <row r="174" spans="1:2">
      <c r="A174">
        <v>25557</v>
      </c>
      <c r="B174">
        <v>15753.0567039784</v>
      </c>
    </row>
    <row r="175" spans="1:2">
      <c r="A175">
        <v>24739</v>
      </c>
      <c r="B175">
        <v>13875.9125521359</v>
      </c>
    </row>
    <row r="176" spans="1:2">
      <c r="A176">
        <v>36805</v>
      </c>
      <c r="B176">
        <v>22948.2287858387</v>
      </c>
    </row>
    <row r="177" spans="1:2">
      <c r="A177">
        <v>6614</v>
      </c>
      <c r="B177">
        <v>4288.16131007085</v>
      </c>
    </row>
    <row r="178" spans="1:2">
      <c r="A178">
        <v>26213</v>
      </c>
      <c r="B178">
        <v>14783.9649322103</v>
      </c>
    </row>
    <row r="179" spans="1:2">
      <c r="A179">
        <v>39929</v>
      </c>
      <c r="B179">
        <v>24132.8104221089</v>
      </c>
    </row>
    <row r="180" spans="1:2">
      <c r="A180">
        <v>12896</v>
      </c>
      <c r="B180">
        <v>8374.58328612028</v>
      </c>
    </row>
    <row r="181" spans="1:2">
      <c r="A181">
        <v>33665</v>
      </c>
      <c r="B181">
        <v>18686.7466516049</v>
      </c>
    </row>
    <row r="182" spans="1:2">
      <c r="A182">
        <v>48900</v>
      </c>
      <c r="B182">
        <v>27852.0626453358</v>
      </c>
    </row>
    <row r="183" spans="1:2">
      <c r="A183">
        <v>12127</v>
      </c>
      <c r="B183">
        <v>7279.74741955198</v>
      </c>
    </row>
    <row r="184" spans="1:2">
      <c r="A184">
        <v>48082</v>
      </c>
      <c r="B184">
        <v>26768.8382563101</v>
      </c>
    </row>
    <row r="185" spans="1:2">
      <c r="A185">
        <v>16628</v>
      </c>
      <c r="B185">
        <v>9705.91858618496</v>
      </c>
    </row>
    <row r="186" spans="1:2">
      <c r="A186">
        <v>31372</v>
      </c>
      <c r="B186">
        <v>17951.4587941376</v>
      </c>
    </row>
    <row r="187" spans="1:2">
      <c r="A187">
        <v>15468</v>
      </c>
      <c r="B187">
        <v>8709.08391960494</v>
      </c>
    </row>
    <row r="188" spans="1:2">
      <c r="A188">
        <v>37513</v>
      </c>
      <c r="B188">
        <v>22144.6205249581</v>
      </c>
    </row>
    <row r="189" spans="1:2">
      <c r="A189">
        <v>29525</v>
      </c>
      <c r="B189">
        <v>18572.0918642202</v>
      </c>
    </row>
    <row r="190" spans="1:2">
      <c r="A190">
        <v>22291</v>
      </c>
      <c r="B190">
        <v>13487.1050629699</v>
      </c>
    </row>
    <row r="191" spans="1:2">
      <c r="A191">
        <v>29585</v>
      </c>
      <c r="B191">
        <v>18759.2812208689</v>
      </c>
    </row>
    <row r="192" spans="1:2">
      <c r="A192">
        <v>50169</v>
      </c>
      <c r="B192">
        <v>29199.5221282491</v>
      </c>
    </row>
    <row r="193" spans="1:2">
      <c r="A193">
        <v>47758</v>
      </c>
      <c r="B193">
        <v>28432.0431380309</v>
      </c>
    </row>
    <row r="194" spans="1:2">
      <c r="A194">
        <v>18583</v>
      </c>
      <c r="B194">
        <v>11489.2553586358</v>
      </c>
    </row>
    <row r="195" spans="1:2">
      <c r="A195">
        <v>26925</v>
      </c>
      <c r="B195">
        <v>17342.139809046</v>
      </c>
    </row>
    <row r="196" spans="1:2">
      <c r="A196">
        <v>36212</v>
      </c>
      <c r="B196">
        <v>22042.0559022316</v>
      </c>
    </row>
    <row r="197" spans="1:2">
      <c r="A197">
        <v>26794</v>
      </c>
      <c r="B197">
        <v>15459.6790437756</v>
      </c>
    </row>
    <row r="198" spans="1:2">
      <c r="A198">
        <v>28373</v>
      </c>
      <c r="B198">
        <v>16394.7250261728</v>
      </c>
    </row>
    <row r="199" spans="1:2">
      <c r="A199">
        <v>12011</v>
      </c>
      <c r="B199">
        <v>6834.87027789006</v>
      </c>
    </row>
    <row r="200" spans="1:2">
      <c r="A200">
        <v>48481</v>
      </c>
      <c r="B200">
        <v>28300.3282702306</v>
      </c>
    </row>
    <row r="201" spans="1:2">
      <c r="A201">
        <v>23398</v>
      </c>
      <c r="B201">
        <v>13361.5443679439</v>
      </c>
    </row>
    <row r="202" spans="1:2">
      <c r="A202">
        <v>48114</v>
      </c>
      <c r="B202">
        <v>27398.6220055767</v>
      </c>
    </row>
    <row r="203" spans="1:2">
      <c r="A203">
        <v>20222</v>
      </c>
      <c r="B203">
        <v>11924.7651194653</v>
      </c>
    </row>
    <row r="204" spans="1:2">
      <c r="A204">
        <v>33396</v>
      </c>
      <c r="B204">
        <v>20962.2669665069</v>
      </c>
    </row>
    <row r="205" spans="1:2">
      <c r="A205">
        <v>26717</v>
      </c>
      <c r="B205">
        <v>15552.0856844967</v>
      </c>
    </row>
    <row r="206" spans="1:2">
      <c r="A206">
        <v>43452</v>
      </c>
      <c r="B206">
        <v>25237.3321359749</v>
      </c>
    </row>
    <row r="207" spans="1:2">
      <c r="A207">
        <v>42877</v>
      </c>
      <c r="B207">
        <v>25039.3460348848</v>
      </c>
    </row>
    <row r="208" spans="1:2">
      <c r="A208">
        <v>28596</v>
      </c>
      <c r="B208">
        <v>16241.8691144747</v>
      </c>
    </row>
    <row r="209" spans="1:2">
      <c r="A209">
        <v>19756</v>
      </c>
      <c r="B209">
        <v>11991.9693391733</v>
      </c>
    </row>
    <row r="210" spans="1:2">
      <c r="A210">
        <v>19840</v>
      </c>
      <c r="B210">
        <v>11333.7862067873</v>
      </c>
    </row>
    <row r="211" spans="1:2">
      <c r="A211">
        <v>35543</v>
      </c>
      <c r="B211">
        <v>21545.6794703782</v>
      </c>
    </row>
    <row r="212" spans="1:2">
      <c r="A212">
        <v>29674</v>
      </c>
      <c r="B212">
        <v>17104.9153556307</v>
      </c>
    </row>
    <row r="213" spans="1:2">
      <c r="A213">
        <v>40844</v>
      </c>
      <c r="B213">
        <v>24183.8330693548</v>
      </c>
    </row>
    <row r="214" spans="1:2">
      <c r="A214">
        <v>35075</v>
      </c>
      <c r="B214">
        <v>20195.8934890859</v>
      </c>
    </row>
    <row r="215" spans="1:2">
      <c r="A215">
        <v>24576</v>
      </c>
      <c r="B215">
        <v>15191.355896761</v>
      </c>
    </row>
    <row r="216" spans="1:2">
      <c r="A216">
        <v>31011</v>
      </c>
      <c r="B216">
        <v>20198.9219577867</v>
      </c>
    </row>
    <row r="217" spans="1:2">
      <c r="A217">
        <v>36984</v>
      </c>
      <c r="B217">
        <v>22812.121879055</v>
      </c>
    </row>
    <row r="218" spans="1:2">
      <c r="A218">
        <v>29167</v>
      </c>
      <c r="B218">
        <v>18297.8545095265</v>
      </c>
    </row>
    <row r="219" spans="1:2">
      <c r="A219">
        <v>30750</v>
      </c>
      <c r="B219">
        <v>17740.1748702175</v>
      </c>
    </row>
    <row r="220" spans="1:2">
      <c r="A220">
        <v>33442</v>
      </c>
      <c r="B220">
        <v>20360.3018434145</v>
      </c>
    </row>
    <row r="221" spans="1:2">
      <c r="A221">
        <v>39249</v>
      </c>
      <c r="B221">
        <v>24094.7271697048</v>
      </c>
    </row>
    <row r="222" spans="1:2">
      <c r="A222">
        <v>34936</v>
      </c>
      <c r="B222">
        <v>21861.5836691152</v>
      </c>
    </row>
    <row r="223" spans="1:2">
      <c r="A223">
        <v>22366</v>
      </c>
      <c r="B223">
        <v>13968.694278273</v>
      </c>
    </row>
    <row r="224" spans="1:2">
      <c r="A224">
        <v>44259</v>
      </c>
      <c r="B224">
        <v>25706.3365451553</v>
      </c>
    </row>
    <row r="225" spans="1:2">
      <c r="A225">
        <v>42201</v>
      </c>
      <c r="B225">
        <v>25114.2881654256</v>
      </c>
    </row>
    <row r="226" spans="1:2">
      <c r="A226">
        <v>27084</v>
      </c>
      <c r="B226">
        <v>15958.4789691466</v>
      </c>
    </row>
    <row r="227" spans="1:2">
      <c r="A227">
        <v>35777</v>
      </c>
      <c r="B227">
        <v>22379.5847646168</v>
      </c>
    </row>
    <row r="228" spans="1:2">
      <c r="A228">
        <v>51346</v>
      </c>
      <c r="B228">
        <v>30645.3140358823</v>
      </c>
    </row>
    <row r="229" spans="1:2">
      <c r="A229">
        <v>46800</v>
      </c>
      <c r="B229">
        <v>26441.1975265784</v>
      </c>
    </row>
    <row r="230" spans="1:2">
      <c r="A230">
        <v>30898</v>
      </c>
      <c r="B230">
        <v>17708.1851037012</v>
      </c>
    </row>
    <row r="231" spans="1:2">
      <c r="A231">
        <v>50527</v>
      </c>
      <c r="B231">
        <v>28799.4397646198</v>
      </c>
    </row>
    <row r="232" spans="1:2">
      <c r="A232">
        <v>50710</v>
      </c>
      <c r="B232">
        <v>29519.8830439152</v>
      </c>
    </row>
    <row r="233" spans="1:2">
      <c r="A233">
        <v>34578</v>
      </c>
      <c r="B233">
        <v>21431.9753450207</v>
      </c>
    </row>
    <row r="234" spans="1:2">
      <c r="A234">
        <v>38127</v>
      </c>
      <c r="B234">
        <v>23273.965598779</v>
      </c>
    </row>
    <row r="235" spans="1:2">
      <c r="A235">
        <v>25999</v>
      </c>
      <c r="B235">
        <v>14393.2028403388</v>
      </c>
    </row>
    <row r="236" spans="1:2">
      <c r="A236">
        <v>38460</v>
      </c>
      <c r="B236">
        <v>21392.7999815851</v>
      </c>
    </row>
    <row r="237" spans="1:2">
      <c r="A237">
        <v>19220</v>
      </c>
      <c r="B237">
        <v>10916.9697149019</v>
      </c>
    </row>
    <row r="238" spans="1:2">
      <c r="A238">
        <v>12407</v>
      </c>
      <c r="B238">
        <v>8028.6277687441</v>
      </c>
    </row>
    <row r="239" spans="1:2">
      <c r="A239">
        <v>16038</v>
      </c>
      <c r="B239">
        <v>9619.27212596808</v>
      </c>
    </row>
    <row r="240" spans="1:2">
      <c r="A240">
        <v>39707</v>
      </c>
      <c r="B240">
        <v>24192.7165684932</v>
      </c>
    </row>
    <row r="241" spans="1:2">
      <c r="A241">
        <v>29200</v>
      </c>
      <c r="B241">
        <v>17986.8986924273</v>
      </c>
    </row>
    <row r="242" spans="1:2">
      <c r="A242">
        <v>31421</v>
      </c>
      <c r="B242">
        <v>17700.6292270719</v>
      </c>
    </row>
    <row r="243" spans="1:2">
      <c r="A243">
        <v>32624</v>
      </c>
      <c r="B243">
        <v>18859.0684916903</v>
      </c>
    </row>
    <row r="244" spans="1:2">
      <c r="A244">
        <v>37068</v>
      </c>
      <c r="B244">
        <v>21593.5648415487</v>
      </c>
    </row>
    <row r="245" spans="1:2">
      <c r="A245">
        <v>39760</v>
      </c>
      <c r="B245">
        <v>24785.64155259</v>
      </c>
    </row>
    <row r="246" spans="1:2">
      <c r="A246">
        <v>17062</v>
      </c>
      <c r="B246">
        <v>11056.6364144034</v>
      </c>
    </row>
    <row r="247" spans="1:2">
      <c r="A247">
        <v>41849</v>
      </c>
      <c r="B247">
        <v>25674.3676042631</v>
      </c>
    </row>
    <row r="248" spans="1:2">
      <c r="A248">
        <v>43848</v>
      </c>
      <c r="B248">
        <v>24314.5053523681</v>
      </c>
    </row>
    <row r="249" spans="1:2">
      <c r="A249">
        <v>36090</v>
      </c>
      <c r="B249">
        <v>20768.8900706355</v>
      </c>
    </row>
    <row r="250" spans="1:2">
      <c r="A250">
        <v>30983</v>
      </c>
      <c r="B250">
        <v>17827.4890196896</v>
      </c>
    </row>
    <row r="251" spans="1:2">
      <c r="A251">
        <v>41021</v>
      </c>
      <c r="B251">
        <v>23195.5127723538</v>
      </c>
    </row>
    <row r="252" spans="1:2">
      <c r="A252">
        <v>25171</v>
      </c>
      <c r="B252">
        <v>15058.1361416547</v>
      </c>
    </row>
    <row r="253" spans="1:2">
      <c r="A253">
        <v>41981</v>
      </c>
      <c r="B253">
        <v>23566.0064543785</v>
      </c>
    </row>
    <row r="254" spans="1:2">
      <c r="A254">
        <v>35330</v>
      </c>
      <c r="B254">
        <v>21289.3331010754</v>
      </c>
    </row>
    <row r="255" spans="1:2">
      <c r="A255">
        <v>3692</v>
      </c>
      <c r="B255">
        <v>2403.1570144007</v>
      </c>
    </row>
    <row r="256" spans="1:2">
      <c r="A256">
        <v>46827</v>
      </c>
      <c r="B256">
        <v>27759.0356675023</v>
      </c>
    </row>
    <row r="257" spans="1:2">
      <c r="A257">
        <v>16402</v>
      </c>
      <c r="B257">
        <v>9846.56485847511</v>
      </c>
    </row>
    <row r="258" spans="1:2">
      <c r="A258">
        <v>12973</v>
      </c>
      <c r="B258">
        <v>7830.14649970128</v>
      </c>
    </row>
    <row r="259" spans="1:2">
      <c r="A259">
        <v>25900</v>
      </c>
      <c r="B259">
        <v>15570.4683354223</v>
      </c>
    </row>
    <row r="260" spans="1:2">
      <c r="A260">
        <v>19584</v>
      </c>
      <c r="B260">
        <v>11616.2578323585</v>
      </c>
    </row>
    <row r="261" spans="1:2">
      <c r="A261">
        <v>7949</v>
      </c>
      <c r="B261">
        <v>4744.40460496863</v>
      </c>
    </row>
    <row r="262" spans="1:2">
      <c r="A262">
        <v>38382</v>
      </c>
      <c r="B262">
        <v>23100.1330291246</v>
      </c>
    </row>
    <row r="263" spans="1:2">
      <c r="A263">
        <v>25609</v>
      </c>
      <c r="B263">
        <v>16672.8390324278</v>
      </c>
    </row>
    <row r="264" spans="1:2">
      <c r="A264">
        <v>30262</v>
      </c>
      <c r="B264">
        <v>18408.9483549489</v>
      </c>
    </row>
    <row r="265" spans="1:2">
      <c r="A265">
        <v>41323</v>
      </c>
      <c r="B265">
        <v>25499.2542046185</v>
      </c>
    </row>
    <row r="266" spans="1:2">
      <c r="A266">
        <v>25759</v>
      </c>
      <c r="B266">
        <v>15683.0943514643</v>
      </c>
    </row>
    <row r="267" spans="1:2">
      <c r="A267">
        <v>12236</v>
      </c>
      <c r="B267">
        <v>7808.17528982886</v>
      </c>
    </row>
    <row r="268" spans="1:2">
      <c r="A268">
        <v>39196</v>
      </c>
      <c r="B268">
        <v>23642.7273144951</v>
      </c>
    </row>
    <row r="269" spans="1:2">
      <c r="A269">
        <v>29996</v>
      </c>
      <c r="B269">
        <v>19596.4242185491</v>
      </c>
    </row>
    <row r="270" spans="1:2">
      <c r="A270">
        <v>27618</v>
      </c>
      <c r="B270">
        <v>16494.1661159184</v>
      </c>
    </row>
    <row r="271" spans="1:2">
      <c r="A271">
        <v>15600</v>
      </c>
      <c r="B271">
        <v>9045.36333012333</v>
      </c>
    </row>
    <row r="272" spans="1:2">
      <c r="A272">
        <v>38427</v>
      </c>
      <c r="B272">
        <v>22196.6855392854</v>
      </c>
    </row>
    <row r="273" spans="1:2">
      <c r="A273">
        <v>24184</v>
      </c>
      <c r="B273">
        <v>15123.8624552945</v>
      </c>
    </row>
    <row r="274" spans="1:2">
      <c r="A274">
        <v>29022</v>
      </c>
      <c r="B274">
        <v>18816.0630154533</v>
      </c>
    </row>
    <row r="275" spans="1:2">
      <c r="A275">
        <v>23564</v>
      </c>
      <c r="B275">
        <v>14179.7020583965</v>
      </c>
    </row>
    <row r="276" spans="1:2">
      <c r="A276">
        <v>51257</v>
      </c>
      <c r="B276">
        <v>29637.9859990454</v>
      </c>
    </row>
    <row r="277" spans="1:2">
      <c r="A277">
        <v>25431</v>
      </c>
      <c r="B277">
        <v>15782.7280260996</v>
      </c>
    </row>
    <row r="278" spans="1:2">
      <c r="A278">
        <v>20838</v>
      </c>
      <c r="B278">
        <v>12362.711058855</v>
      </c>
    </row>
    <row r="279" spans="1:2">
      <c r="A279">
        <v>24207</v>
      </c>
      <c r="B279">
        <v>15145.0176959571</v>
      </c>
    </row>
    <row r="280" spans="1:2">
      <c r="A280">
        <v>48435</v>
      </c>
      <c r="B280">
        <v>27046.1143229288</v>
      </c>
    </row>
    <row r="281" spans="1:2">
      <c r="A281">
        <v>41661</v>
      </c>
      <c r="B281">
        <v>23440.0996275632</v>
      </c>
    </row>
    <row r="282" spans="1:2">
      <c r="A282">
        <v>34784</v>
      </c>
      <c r="B282">
        <v>19754.5971348055</v>
      </c>
    </row>
    <row r="283" spans="1:2">
      <c r="A283">
        <v>28057</v>
      </c>
      <c r="B283">
        <v>15998.2139994618</v>
      </c>
    </row>
    <row r="284" spans="1:2">
      <c r="A284">
        <v>39161</v>
      </c>
      <c r="B284">
        <v>21934.7606845735</v>
      </c>
    </row>
    <row r="285" spans="1:2">
      <c r="A285">
        <v>36718</v>
      </c>
      <c r="B285">
        <v>22813.8993851509</v>
      </c>
    </row>
    <row r="286" spans="1:2">
      <c r="A286">
        <v>28093</v>
      </c>
      <c r="B286">
        <v>18147.2615164746</v>
      </c>
    </row>
    <row r="287" spans="1:2">
      <c r="A287">
        <v>43444</v>
      </c>
      <c r="B287">
        <v>26376.3112433841</v>
      </c>
    </row>
    <row r="288" spans="1:2">
      <c r="A288">
        <v>33067</v>
      </c>
      <c r="B288">
        <v>20856.1995679154</v>
      </c>
    </row>
    <row r="289" spans="1:2">
      <c r="A289">
        <v>33937</v>
      </c>
      <c r="B289">
        <v>19547.2367677237</v>
      </c>
    </row>
    <row r="290" spans="1:2">
      <c r="A290">
        <v>23434</v>
      </c>
      <c r="B290">
        <v>15067.9133184061</v>
      </c>
    </row>
    <row r="291" spans="1:2">
      <c r="A291">
        <v>7517</v>
      </c>
      <c r="B291">
        <v>4276.4753454866</v>
      </c>
    </row>
    <row r="292" spans="1:2">
      <c r="A292">
        <v>29458</v>
      </c>
      <c r="B292">
        <v>18130.1886667943</v>
      </c>
    </row>
    <row r="293" spans="1:2">
      <c r="A293">
        <v>27686</v>
      </c>
      <c r="B293">
        <v>15422.66090129</v>
      </c>
    </row>
    <row r="294" spans="1:2">
      <c r="A294">
        <v>46987</v>
      </c>
      <c r="B294">
        <v>27843.1038465285</v>
      </c>
    </row>
    <row r="295" spans="1:2">
      <c r="A295">
        <v>35854</v>
      </c>
      <c r="B295">
        <v>21107.1831614912</v>
      </c>
    </row>
    <row r="296" spans="1:2">
      <c r="A296">
        <v>26319</v>
      </c>
      <c r="B296">
        <v>16789.5945777687</v>
      </c>
    </row>
    <row r="297" spans="1:2">
      <c r="A297">
        <v>45338</v>
      </c>
      <c r="B297">
        <v>27618.2524154749</v>
      </c>
    </row>
    <row r="298" spans="1:2">
      <c r="A298">
        <v>33938</v>
      </c>
      <c r="B298">
        <v>20087.3984580072</v>
      </c>
    </row>
    <row r="299" spans="1:2">
      <c r="A299">
        <v>26255</v>
      </c>
      <c r="B299">
        <v>16286.0103174307</v>
      </c>
    </row>
    <row r="300" spans="1:2">
      <c r="A300">
        <v>45460</v>
      </c>
      <c r="B300">
        <v>27325.2476370035</v>
      </c>
    </row>
    <row r="301" spans="1:2">
      <c r="A301">
        <v>17888</v>
      </c>
      <c r="B301">
        <v>10479.3648928127</v>
      </c>
    </row>
    <row r="302" spans="1:2">
      <c r="A302">
        <v>31282</v>
      </c>
      <c r="B302">
        <v>20253.1041633518</v>
      </c>
    </row>
    <row r="303" spans="1:2">
      <c r="A303">
        <v>50720</v>
      </c>
      <c r="B303">
        <v>28808.1191268335</v>
      </c>
    </row>
    <row r="304" spans="1:2">
      <c r="A304">
        <v>25912</v>
      </c>
      <c r="B304">
        <v>16667.9139279718</v>
      </c>
    </row>
    <row r="305" spans="1:2">
      <c r="A305">
        <v>40396</v>
      </c>
      <c r="B305">
        <v>24984.2494505187</v>
      </c>
    </row>
    <row r="306" spans="1:2">
      <c r="A306">
        <v>27122</v>
      </c>
      <c r="B306">
        <v>16883.0355724921</v>
      </c>
    </row>
    <row r="307" spans="1:2">
      <c r="A307">
        <v>32514</v>
      </c>
      <c r="B307">
        <v>20594.4911185565</v>
      </c>
    </row>
    <row r="308" spans="1:2">
      <c r="A308">
        <v>43670</v>
      </c>
      <c r="B308">
        <v>25152.6186011993</v>
      </c>
    </row>
    <row r="309" spans="1:2">
      <c r="A309">
        <v>18743</v>
      </c>
      <c r="B309">
        <v>10589.6089359931</v>
      </c>
    </row>
    <row r="310" spans="1:2">
      <c r="A310">
        <v>12873</v>
      </c>
      <c r="B310">
        <v>8194.64689319023</v>
      </c>
    </row>
    <row r="311" spans="1:2">
      <c r="A311">
        <v>34405</v>
      </c>
      <c r="B311">
        <v>21562.282163397</v>
      </c>
    </row>
    <row r="312" spans="1:2">
      <c r="A312">
        <v>29580</v>
      </c>
      <c r="B312">
        <v>19202.6659799824</v>
      </c>
    </row>
    <row r="313" spans="1:2">
      <c r="A313">
        <v>17141</v>
      </c>
      <c r="B313">
        <v>9821.26817226127</v>
      </c>
    </row>
    <row r="314" spans="1:2">
      <c r="A314">
        <v>6999</v>
      </c>
      <c r="B314">
        <v>4322.71087087806</v>
      </c>
    </row>
    <row r="315" spans="1:2">
      <c r="A315">
        <v>42901</v>
      </c>
      <c r="B315">
        <v>24566.3957838241</v>
      </c>
    </row>
    <row r="316" spans="1:2">
      <c r="A316">
        <v>24494</v>
      </c>
      <c r="B316">
        <v>14519.4255834859</v>
      </c>
    </row>
    <row r="317" spans="1:2">
      <c r="A317">
        <v>31184</v>
      </c>
      <c r="B317">
        <v>18508.2761367154</v>
      </c>
    </row>
    <row r="318" spans="1:2">
      <c r="A318">
        <v>22314</v>
      </c>
      <c r="B318">
        <v>13372.0381490022</v>
      </c>
    </row>
    <row r="319" spans="1:2">
      <c r="A319">
        <v>29100</v>
      </c>
      <c r="B319">
        <v>16578.2974011166</v>
      </c>
    </row>
    <row r="320" spans="1:2">
      <c r="A320">
        <v>17882</v>
      </c>
      <c r="B320">
        <v>11040.4558419867</v>
      </c>
    </row>
    <row r="321" spans="1:2">
      <c r="A321">
        <v>39210</v>
      </c>
      <c r="B321">
        <v>22190.8928501143</v>
      </c>
    </row>
    <row r="322" spans="1:2">
      <c r="A322">
        <v>37510</v>
      </c>
      <c r="B322">
        <v>22536.5268486769</v>
      </c>
    </row>
    <row r="323" spans="1:2">
      <c r="A323">
        <v>27698</v>
      </c>
      <c r="B323">
        <v>15823.00281826</v>
      </c>
    </row>
    <row r="324" spans="1:2">
      <c r="A324">
        <v>23736</v>
      </c>
      <c r="B324">
        <v>15411.0709544058</v>
      </c>
    </row>
    <row r="325" spans="1:2">
      <c r="A325">
        <v>19255</v>
      </c>
      <c r="B325">
        <v>12182.2270017336</v>
      </c>
    </row>
    <row r="326" spans="1:2">
      <c r="A326">
        <v>28883</v>
      </c>
      <c r="B326">
        <v>18600.729411394</v>
      </c>
    </row>
    <row r="327" spans="1:2">
      <c r="A327">
        <v>38334</v>
      </c>
      <c r="B327">
        <v>21255.2630687377</v>
      </c>
    </row>
    <row r="328" spans="1:2">
      <c r="A328">
        <v>11354</v>
      </c>
      <c r="B328">
        <v>6703.51906345296</v>
      </c>
    </row>
    <row r="329" spans="1:2">
      <c r="A329">
        <v>26602</v>
      </c>
      <c r="B329">
        <v>17248.9615047155</v>
      </c>
    </row>
    <row r="330" spans="1:2">
      <c r="A330">
        <v>37701</v>
      </c>
      <c r="B330">
        <v>20875.9572828875</v>
      </c>
    </row>
    <row r="331" spans="1:2">
      <c r="A331">
        <v>2518</v>
      </c>
      <c r="B331">
        <v>1600.886762635</v>
      </c>
    </row>
    <row r="332" spans="1:2">
      <c r="A332">
        <v>22204</v>
      </c>
      <c r="B332">
        <v>12551.0746153506</v>
      </c>
    </row>
    <row r="333" spans="1:2">
      <c r="A333">
        <v>22673</v>
      </c>
      <c r="B333">
        <v>13132.1304958354</v>
      </c>
    </row>
    <row r="334" spans="1:2">
      <c r="A334">
        <v>22807</v>
      </c>
      <c r="B334">
        <v>13360.7909146689</v>
      </c>
    </row>
    <row r="335" spans="1:2">
      <c r="A335">
        <v>22101</v>
      </c>
      <c r="B335">
        <v>12630.1724470342</v>
      </c>
    </row>
    <row r="336" spans="1:2">
      <c r="A336">
        <v>47632</v>
      </c>
      <c r="B336">
        <v>27642.153505874</v>
      </c>
    </row>
    <row r="337" spans="1:2">
      <c r="A337">
        <v>45569</v>
      </c>
      <c r="B337">
        <v>25535.0033024408</v>
      </c>
    </row>
    <row r="338" spans="1:2">
      <c r="A338">
        <v>26234</v>
      </c>
      <c r="B338">
        <v>16937.087625588</v>
      </c>
    </row>
    <row r="339" spans="1:2">
      <c r="A339">
        <v>17780</v>
      </c>
      <c r="B339">
        <v>10704.9161960562</v>
      </c>
    </row>
    <row r="340" spans="1:2">
      <c r="A340">
        <v>20653</v>
      </c>
      <c r="B340">
        <v>11761.2694965763</v>
      </c>
    </row>
    <row r="341" spans="1:2">
      <c r="A341">
        <v>32112</v>
      </c>
      <c r="B341">
        <v>18515.0936762931</v>
      </c>
    </row>
    <row r="342" spans="1:2">
      <c r="A342">
        <v>45670</v>
      </c>
      <c r="B342">
        <v>27488.3271422439</v>
      </c>
    </row>
    <row r="343" spans="1:2">
      <c r="A343">
        <v>27762</v>
      </c>
      <c r="B343">
        <v>18015.54303457</v>
      </c>
    </row>
    <row r="344" spans="1:2">
      <c r="A344">
        <v>45594</v>
      </c>
      <c r="B344">
        <v>25390.6301223815</v>
      </c>
    </row>
    <row r="345" spans="1:2">
      <c r="A345">
        <v>23323</v>
      </c>
      <c r="B345">
        <v>13540.8450554561</v>
      </c>
    </row>
    <row r="346" spans="1:2">
      <c r="A346">
        <v>14642</v>
      </c>
      <c r="B346">
        <v>9619.35769431904</v>
      </c>
    </row>
    <row r="347" spans="1:2">
      <c r="A347">
        <v>34719</v>
      </c>
      <c r="B347">
        <v>21642.6812014047</v>
      </c>
    </row>
    <row r="348" spans="1:2">
      <c r="A348">
        <v>11550</v>
      </c>
      <c r="B348">
        <v>7142.58515233466</v>
      </c>
    </row>
    <row r="349" spans="1:2">
      <c r="A349">
        <v>51158</v>
      </c>
      <c r="B349">
        <v>29453.2692120902</v>
      </c>
    </row>
    <row r="350" spans="1:2">
      <c r="A350">
        <v>33707</v>
      </c>
      <c r="B350">
        <v>20103.2419536084</v>
      </c>
    </row>
    <row r="351" spans="1:2">
      <c r="A351">
        <v>46942</v>
      </c>
      <c r="B351">
        <v>27076.0546227384</v>
      </c>
    </row>
    <row r="352" spans="1:2">
      <c r="A352">
        <v>22869</v>
      </c>
      <c r="B352">
        <v>13559.0496588668</v>
      </c>
    </row>
    <row r="353" spans="1:2">
      <c r="A353">
        <v>44485</v>
      </c>
      <c r="B353">
        <v>25405.7718767636</v>
      </c>
    </row>
    <row r="354" spans="1:2">
      <c r="A354">
        <v>20913</v>
      </c>
      <c r="B354">
        <v>11734.2253002688</v>
      </c>
    </row>
    <row r="355" spans="1:2">
      <c r="A355">
        <v>14319</v>
      </c>
      <c r="B355">
        <v>8175.30082824988</v>
      </c>
    </row>
    <row r="356" spans="1:2">
      <c r="A356">
        <v>13564</v>
      </c>
      <c r="B356">
        <v>8824.78442708282</v>
      </c>
    </row>
    <row r="357" spans="1:2">
      <c r="A357">
        <v>27898</v>
      </c>
      <c r="B357">
        <v>16770.3165093234</v>
      </c>
    </row>
    <row r="358" spans="1:2">
      <c r="A358">
        <v>30830</v>
      </c>
      <c r="B358">
        <v>19955.3974540506</v>
      </c>
    </row>
    <row r="359" spans="1:2">
      <c r="A359">
        <v>41107</v>
      </c>
      <c r="B359">
        <v>25222.9643620981</v>
      </c>
    </row>
    <row r="360" spans="1:2">
      <c r="A360">
        <v>17191</v>
      </c>
      <c r="B360">
        <v>9676.03983444295</v>
      </c>
    </row>
    <row r="361" spans="1:2">
      <c r="A361">
        <v>50615</v>
      </c>
      <c r="B361">
        <v>28962.6461773241</v>
      </c>
    </row>
    <row r="362" spans="1:2">
      <c r="A362">
        <v>37987</v>
      </c>
      <c r="B362">
        <v>22466.3818655138</v>
      </c>
    </row>
    <row r="363" spans="1:2">
      <c r="A363">
        <v>38703</v>
      </c>
      <c r="B363">
        <v>21890.0737138773</v>
      </c>
    </row>
    <row r="364" spans="1:2">
      <c r="A364">
        <v>33539</v>
      </c>
      <c r="B364">
        <v>21161.2832334817</v>
      </c>
    </row>
    <row r="365" spans="1:2">
      <c r="A365">
        <v>9121</v>
      </c>
      <c r="B365">
        <v>5800.87951630072</v>
      </c>
    </row>
    <row r="366" spans="1:2">
      <c r="A366">
        <v>31397</v>
      </c>
      <c r="B366">
        <v>18454.8420049971</v>
      </c>
    </row>
    <row r="367" spans="1:2">
      <c r="A367">
        <v>45010</v>
      </c>
      <c r="B367">
        <v>26298.3913327054</v>
      </c>
    </row>
    <row r="368" spans="1:2">
      <c r="A368">
        <v>50595</v>
      </c>
      <c r="B368">
        <v>29773.2225772959</v>
      </c>
    </row>
    <row r="369" spans="1:2">
      <c r="A369">
        <v>31024</v>
      </c>
      <c r="B369">
        <v>19268.9695553739</v>
      </c>
    </row>
    <row r="370" spans="1:2">
      <c r="A370">
        <v>22535</v>
      </c>
      <c r="B370">
        <v>13213.977221119</v>
      </c>
    </row>
    <row r="371" spans="1:2">
      <c r="A371">
        <v>40336</v>
      </c>
      <c r="B371">
        <v>22794.0552401539</v>
      </c>
    </row>
    <row r="372" spans="1:2">
      <c r="A372">
        <v>47706</v>
      </c>
      <c r="B372">
        <v>26531.8580020076</v>
      </c>
    </row>
    <row r="373" spans="1:2">
      <c r="A373">
        <v>18468</v>
      </c>
      <c r="B373">
        <v>11977.7231494838</v>
      </c>
    </row>
    <row r="374" spans="1:2">
      <c r="A374">
        <v>43678</v>
      </c>
      <c r="B374">
        <v>24581.0948138536</v>
      </c>
    </row>
    <row r="375" spans="1:2">
      <c r="A375">
        <v>29760</v>
      </c>
      <c r="B375">
        <v>17951.2084986281</v>
      </c>
    </row>
    <row r="376" spans="1:2">
      <c r="A376">
        <v>11990</v>
      </c>
      <c r="B376">
        <v>6888.35829045674</v>
      </c>
    </row>
    <row r="377" spans="1:2">
      <c r="A377">
        <v>17076</v>
      </c>
      <c r="B377">
        <v>10565.8716674508</v>
      </c>
    </row>
    <row r="378" spans="1:2">
      <c r="A378">
        <v>41752</v>
      </c>
      <c r="B378">
        <v>25004.7770276709</v>
      </c>
    </row>
    <row r="379" spans="1:2">
      <c r="A379">
        <v>50368</v>
      </c>
      <c r="B379">
        <v>28252.8441287996</v>
      </c>
    </row>
    <row r="380" spans="1:2">
      <c r="A380">
        <v>41336</v>
      </c>
      <c r="B380">
        <v>23000.452564101</v>
      </c>
    </row>
    <row r="381" spans="1:2">
      <c r="A381">
        <v>38372</v>
      </c>
      <c r="B381">
        <v>21729.6426107468</v>
      </c>
    </row>
    <row r="382" spans="1:2">
      <c r="A382">
        <v>23005</v>
      </c>
      <c r="B382">
        <v>13419.28573028</v>
      </c>
    </row>
    <row r="383" spans="1:2">
      <c r="A383">
        <v>25399</v>
      </c>
      <c r="B383">
        <v>16296.3301215718</v>
      </c>
    </row>
    <row r="384" spans="1:2">
      <c r="A384">
        <v>48162</v>
      </c>
      <c r="B384">
        <v>27966.9501748134</v>
      </c>
    </row>
    <row r="385" spans="1:2">
      <c r="A385">
        <v>13117</v>
      </c>
      <c r="B385">
        <v>7821.29148988077</v>
      </c>
    </row>
    <row r="386" spans="1:2">
      <c r="A386">
        <v>33825</v>
      </c>
      <c r="B386">
        <v>19053.6902351381</v>
      </c>
    </row>
    <row r="387" spans="1:2">
      <c r="A387">
        <v>26357</v>
      </c>
      <c r="B387">
        <v>15801.6223427896</v>
      </c>
    </row>
    <row r="388" spans="1:2">
      <c r="A388">
        <v>24457</v>
      </c>
      <c r="B388">
        <v>13867.0879796649</v>
      </c>
    </row>
    <row r="389" spans="1:2">
      <c r="A389">
        <v>32424</v>
      </c>
      <c r="B389">
        <v>18985.2671483723</v>
      </c>
    </row>
    <row r="390" spans="1:2">
      <c r="A390">
        <v>42762</v>
      </c>
      <c r="B390">
        <v>25178.7718888359</v>
      </c>
    </row>
    <row r="391" spans="1:2">
      <c r="A391">
        <v>40013</v>
      </c>
      <c r="B391">
        <v>23949.4679924412</v>
      </c>
    </row>
    <row r="392" spans="1:2">
      <c r="A392">
        <v>50566</v>
      </c>
      <c r="B392">
        <v>28400.3664389792</v>
      </c>
    </row>
    <row r="393" spans="1:2">
      <c r="A393">
        <v>41543</v>
      </c>
      <c r="B393">
        <v>23185.908823831</v>
      </c>
    </row>
    <row r="394" spans="1:2">
      <c r="A394">
        <v>44621</v>
      </c>
      <c r="B394">
        <v>25713.7042211386</v>
      </c>
    </row>
    <row r="395" spans="1:2">
      <c r="A395">
        <v>40939</v>
      </c>
      <c r="B395">
        <v>24460.3874249362</v>
      </c>
    </row>
    <row r="396" spans="1:2">
      <c r="A396">
        <v>37073</v>
      </c>
      <c r="B396">
        <v>21217.2755064729</v>
      </c>
    </row>
    <row r="397" spans="1:2">
      <c r="A397">
        <v>48019</v>
      </c>
      <c r="B397">
        <v>28782.4064989018</v>
      </c>
    </row>
    <row r="398" spans="1:2">
      <c r="A398">
        <v>46391</v>
      </c>
      <c r="B398">
        <v>26778.4568811457</v>
      </c>
    </row>
    <row r="399" spans="1:2">
      <c r="A399">
        <v>50997</v>
      </c>
      <c r="B399">
        <v>29183.8555435163</v>
      </c>
    </row>
    <row r="400" spans="1:2">
      <c r="A400">
        <v>1863</v>
      </c>
      <c r="B400">
        <v>1173.65771730188</v>
      </c>
    </row>
    <row r="401" spans="1:2">
      <c r="A401">
        <v>4414</v>
      </c>
      <c r="B401">
        <v>2681.50488982196</v>
      </c>
    </row>
    <row r="402" spans="1:2">
      <c r="A402">
        <v>36823</v>
      </c>
      <c r="B402">
        <v>22991.7645856384</v>
      </c>
    </row>
    <row r="403" spans="1:2">
      <c r="A403">
        <v>4942</v>
      </c>
      <c r="B403">
        <v>2889.01382008855</v>
      </c>
    </row>
    <row r="404" spans="1:2">
      <c r="A404">
        <v>40840</v>
      </c>
      <c r="B404">
        <v>24951.6899610304</v>
      </c>
    </row>
    <row r="405" spans="1:2">
      <c r="A405">
        <v>41034</v>
      </c>
      <c r="B405">
        <v>22747.0913002758</v>
      </c>
    </row>
    <row r="406" spans="1:2">
      <c r="A406">
        <v>39433</v>
      </c>
      <c r="B406">
        <v>21848.9962740748</v>
      </c>
    </row>
    <row r="407" spans="1:2">
      <c r="A407">
        <v>50386</v>
      </c>
      <c r="B407">
        <v>30046.8270764286</v>
      </c>
    </row>
    <row r="408" spans="1:2">
      <c r="A408">
        <v>14611</v>
      </c>
      <c r="B408">
        <v>9185.72601942603</v>
      </c>
    </row>
    <row r="409" spans="1:2">
      <c r="A409">
        <v>13158</v>
      </c>
      <c r="B409">
        <v>7572.48572433885</v>
      </c>
    </row>
    <row r="410" spans="1:2">
      <c r="A410">
        <v>44501</v>
      </c>
      <c r="B410">
        <v>26152.3544577853</v>
      </c>
    </row>
    <row r="411" spans="1:2">
      <c r="A411">
        <v>18700</v>
      </c>
      <c r="B411">
        <v>10768.9064623276</v>
      </c>
    </row>
    <row r="412" spans="1:2">
      <c r="A412">
        <v>29147</v>
      </c>
      <c r="B412">
        <v>16250.7423908697</v>
      </c>
    </row>
    <row r="413" spans="1:2">
      <c r="A413">
        <v>43585</v>
      </c>
      <c r="B413">
        <v>24944.9571260606</v>
      </c>
    </row>
    <row r="414" spans="1:2">
      <c r="A414">
        <v>41504</v>
      </c>
      <c r="B414">
        <v>25520.8358610541</v>
      </c>
    </row>
    <row r="415" spans="1:2">
      <c r="A415">
        <v>47201</v>
      </c>
      <c r="B415">
        <v>28228.0102851339</v>
      </c>
    </row>
    <row r="416" spans="1:2">
      <c r="A416">
        <v>14731</v>
      </c>
      <c r="B416">
        <v>8679.95697353067</v>
      </c>
    </row>
    <row r="417" spans="1:2">
      <c r="A417">
        <v>48891</v>
      </c>
      <c r="B417">
        <v>28418.9273865972</v>
      </c>
    </row>
    <row r="418" spans="1:2">
      <c r="A418">
        <v>36993</v>
      </c>
      <c r="B418">
        <v>20551.0392330856</v>
      </c>
    </row>
    <row r="419" spans="1:2">
      <c r="A419">
        <v>36172</v>
      </c>
      <c r="B419">
        <v>20304.2549468593</v>
      </c>
    </row>
    <row r="420" spans="1:2">
      <c r="A420">
        <v>46376</v>
      </c>
      <c r="B420">
        <v>27022.2808743516</v>
      </c>
    </row>
    <row r="421" spans="1:2">
      <c r="A421">
        <v>15399</v>
      </c>
      <c r="B421">
        <v>9823.11912005047</v>
      </c>
    </row>
    <row r="422" spans="1:2">
      <c r="A422">
        <v>14188</v>
      </c>
      <c r="B422">
        <v>8343.16602264971</v>
      </c>
    </row>
    <row r="423" spans="1:2">
      <c r="A423">
        <v>37935</v>
      </c>
      <c r="B423">
        <v>21263.4976115279</v>
      </c>
    </row>
    <row r="424" spans="1:2">
      <c r="A424">
        <v>26055</v>
      </c>
      <c r="B424">
        <v>15414.4910837653</v>
      </c>
    </row>
    <row r="425" spans="1:2">
      <c r="A425">
        <v>47566</v>
      </c>
      <c r="B425">
        <v>27404.1365317406</v>
      </c>
    </row>
    <row r="426" spans="1:2">
      <c r="A426">
        <v>51531</v>
      </c>
      <c r="B426">
        <v>29809.5470770127</v>
      </c>
    </row>
    <row r="427" spans="1:2">
      <c r="A427">
        <v>17236</v>
      </c>
      <c r="B427">
        <v>9841.8486707604</v>
      </c>
    </row>
    <row r="428" spans="1:2">
      <c r="A428">
        <v>14435</v>
      </c>
      <c r="B428">
        <v>8843.66321330276</v>
      </c>
    </row>
    <row r="429" spans="1:2">
      <c r="A429">
        <v>34510</v>
      </c>
      <c r="B429">
        <v>20373.9048448536</v>
      </c>
    </row>
    <row r="430" spans="1:2">
      <c r="A430">
        <v>28516</v>
      </c>
      <c r="B430">
        <v>17492.5832658335</v>
      </c>
    </row>
    <row r="431" spans="1:2">
      <c r="A431">
        <v>37391</v>
      </c>
      <c r="B431">
        <v>22950.2420715983</v>
      </c>
    </row>
    <row r="432" spans="1:2">
      <c r="A432">
        <v>31348</v>
      </c>
      <c r="B432">
        <v>18911.6134039963</v>
      </c>
    </row>
    <row r="433" spans="1:2">
      <c r="A433">
        <v>33095</v>
      </c>
      <c r="B433">
        <v>21100.5109051041</v>
      </c>
    </row>
    <row r="434" spans="1:2">
      <c r="A434">
        <v>38144</v>
      </c>
      <c r="B434">
        <v>21712.1913142856</v>
      </c>
    </row>
    <row r="435" spans="1:2">
      <c r="A435">
        <v>33729</v>
      </c>
      <c r="B435">
        <v>19217.9617450857</v>
      </c>
    </row>
    <row r="436" spans="1:2">
      <c r="A436">
        <v>47029</v>
      </c>
      <c r="B436">
        <v>26429.0174775241</v>
      </c>
    </row>
    <row r="437" spans="1:2">
      <c r="A437">
        <v>50367</v>
      </c>
      <c r="B437">
        <v>28071.5304976688</v>
      </c>
    </row>
    <row r="438" spans="1:2">
      <c r="A438">
        <v>28627</v>
      </c>
      <c r="B438">
        <v>17016.230369032</v>
      </c>
    </row>
    <row r="439" spans="1:2">
      <c r="A439">
        <v>31890</v>
      </c>
      <c r="B439">
        <v>19059.3237166848</v>
      </c>
    </row>
    <row r="440" spans="1:2">
      <c r="A440">
        <v>21998</v>
      </c>
      <c r="B440">
        <v>13060.8942593218</v>
      </c>
    </row>
    <row r="441" spans="1:2">
      <c r="A441">
        <v>35027</v>
      </c>
      <c r="B441">
        <v>20778.0389042429</v>
      </c>
    </row>
    <row r="442" spans="1:2">
      <c r="A442">
        <v>17212</v>
      </c>
      <c r="B442">
        <v>10483.5442068327</v>
      </c>
    </row>
    <row r="443" spans="1:2">
      <c r="A443">
        <v>45281</v>
      </c>
      <c r="B443">
        <v>27110.1489476093</v>
      </c>
    </row>
    <row r="444" spans="1:2">
      <c r="A444">
        <v>35027</v>
      </c>
      <c r="B444">
        <v>21759.7589358341</v>
      </c>
    </row>
    <row r="445" spans="1:2">
      <c r="A445">
        <v>34777</v>
      </c>
      <c r="B445">
        <v>19245.3434510265</v>
      </c>
    </row>
    <row r="446" spans="1:2">
      <c r="A446">
        <v>40628</v>
      </c>
      <c r="B446">
        <v>24275.7066014913</v>
      </c>
    </row>
    <row r="447" spans="1:2">
      <c r="A447">
        <v>30614</v>
      </c>
      <c r="B447">
        <v>18079.3999023929</v>
      </c>
    </row>
    <row r="448" spans="1:2">
      <c r="A448">
        <v>48137</v>
      </c>
      <c r="B448">
        <v>28463.6196288659</v>
      </c>
    </row>
    <row r="449" spans="1:2">
      <c r="A449">
        <v>34027</v>
      </c>
      <c r="B449">
        <v>19287.7487451918</v>
      </c>
    </row>
    <row r="450" spans="1:2">
      <c r="A450">
        <v>25215</v>
      </c>
      <c r="B450">
        <v>13955.9570129949</v>
      </c>
    </row>
    <row r="451" spans="1:2">
      <c r="A451">
        <v>46437</v>
      </c>
      <c r="B451">
        <v>26579.5959448009</v>
      </c>
    </row>
    <row r="452" spans="1:2">
      <c r="A452">
        <v>27341</v>
      </c>
      <c r="B452">
        <v>15142.4509491792</v>
      </c>
    </row>
    <row r="453" spans="1:2">
      <c r="A453">
        <v>48560</v>
      </c>
      <c r="B453">
        <v>27878.5747240224</v>
      </c>
    </row>
    <row r="454" spans="1:2">
      <c r="A454">
        <v>30724</v>
      </c>
      <c r="B454">
        <v>18006.408304184</v>
      </c>
    </row>
    <row r="455" spans="1:2">
      <c r="A455">
        <v>11749</v>
      </c>
      <c r="B455">
        <v>6790.72901761007</v>
      </c>
    </row>
    <row r="456" spans="1:2">
      <c r="A456">
        <v>11150</v>
      </c>
      <c r="B456">
        <v>6405.4876569212</v>
      </c>
    </row>
    <row r="457" spans="1:2">
      <c r="A457">
        <v>24890</v>
      </c>
      <c r="B457">
        <v>14647.0774057566</v>
      </c>
    </row>
    <row r="458" spans="1:2">
      <c r="A458">
        <v>23925</v>
      </c>
      <c r="B458">
        <v>15421.0595766862</v>
      </c>
    </row>
    <row r="459" spans="1:2">
      <c r="A459">
        <v>45449</v>
      </c>
      <c r="B459">
        <v>26361.290492195</v>
      </c>
    </row>
    <row r="460" spans="1:2">
      <c r="A460">
        <v>42054</v>
      </c>
      <c r="B460">
        <v>23293.1812878877</v>
      </c>
    </row>
    <row r="461" spans="1:2">
      <c r="A461">
        <v>29464</v>
      </c>
      <c r="B461">
        <v>17852.7676264645</v>
      </c>
    </row>
    <row r="462" spans="1:2">
      <c r="A462">
        <v>35670</v>
      </c>
      <c r="B462">
        <v>21164.9781186082</v>
      </c>
    </row>
    <row r="463" spans="1:2">
      <c r="A463">
        <v>34945</v>
      </c>
      <c r="B463">
        <v>21545.258546013</v>
      </c>
    </row>
    <row r="464" spans="1:2">
      <c r="A464">
        <v>35674</v>
      </c>
      <c r="B464">
        <v>20380.8065238414</v>
      </c>
    </row>
    <row r="465" spans="1:2">
      <c r="A465">
        <v>45581</v>
      </c>
      <c r="B465">
        <v>27697.1958213709</v>
      </c>
    </row>
    <row r="466" spans="1:2">
      <c r="A466">
        <v>43440</v>
      </c>
      <c r="B466">
        <v>25257.5287609487</v>
      </c>
    </row>
    <row r="467" spans="1:2">
      <c r="A467">
        <v>28117</v>
      </c>
      <c r="B467">
        <v>16783.1686072018</v>
      </c>
    </row>
    <row r="468" spans="1:2">
      <c r="A468">
        <v>47527</v>
      </c>
      <c r="B468">
        <v>27269.8074672433</v>
      </c>
    </row>
    <row r="469" spans="1:2">
      <c r="A469">
        <v>41371</v>
      </c>
      <c r="B469">
        <v>23338.3797492108</v>
      </c>
    </row>
    <row r="470" spans="1:2">
      <c r="A470">
        <v>46916</v>
      </c>
      <c r="B470">
        <v>26879.4952107285</v>
      </c>
    </row>
    <row r="471" spans="1:2">
      <c r="A471">
        <v>34461</v>
      </c>
      <c r="B471">
        <v>19115.6056463024</v>
      </c>
    </row>
    <row r="472" spans="1:2">
      <c r="A472">
        <v>31891</v>
      </c>
      <c r="B472">
        <v>18194.6382384248</v>
      </c>
    </row>
    <row r="473" spans="1:2">
      <c r="A473">
        <v>31994</v>
      </c>
      <c r="B473">
        <v>19201.8227597994</v>
      </c>
    </row>
    <row r="474" spans="1:2">
      <c r="A474">
        <v>11829</v>
      </c>
      <c r="B474">
        <v>7279.92498883309</v>
      </c>
    </row>
    <row r="475" spans="1:2">
      <c r="A475">
        <v>49852</v>
      </c>
      <c r="B475">
        <v>28987.058792661</v>
      </c>
    </row>
    <row r="476" spans="1:2">
      <c r="A476">
        <v>48699</v>
      </c>
      <c r="B476">
        <v>27725.8236501174</v>
      </c>
    </row>
    <row r="477" spans="1:2">
      <c r="A477">
        <v>10657</v>
      </c>
      <c r="B477">
        <v>6607.97759024722</v>
      </c>
    </row>
    <row r="478" spans="1:2">
      <c r="A478">
        <v>24327</v>
      </c>
      <c r="B478">
        <v>14592.4150533056</v>
      </c>
    </row>
    <row r="479" spans="1:2">
      <c r="A479">
        <v>18108</v>
      </c>
      <c r="B479">
        <v>10973.5599169443</v>
      </c>
    </row>
    <row r="480" spans="1:2">
      <c r="A480">
        <v>48189</v>
      </c>
      <c r="B480">
        <v>27454.0143568563</v>
      </c>
    </row>
    <row r="481" spans="1:2">
      <c r="A481">
        <v>38655</v>
      </c>
      <c r="B481">
        <v>24011.6492288697</v>
      </c>
    </row>
    <row r="482" spans="1:2">
      <c r="A482">
        <v>38448</v>
      </c>
      <c r="B482">
        <v>21866.4468791172</v>
      </c>
    </row>
    <row r="483" spans="1:2">
      <c r="A483">
        <v>48383</v>
      </c>
      <c r="B483">
        <v>28619.2285313958</v>
      </c>
    </row>
    <row r="484" spans="1:2">
      <c r="A484">
        <v>38452</v>
      </c>
      <c r="B484">
        <v>23021.9589956367</v>
      </c>
    </row>
    <row r="485" spans="1:2">
      <c r="A485">
        <v>32291</v>
      </c>
      <c r="B485">
        <v>18772.4256176476</v>
      </c>
    </row>
    <row r="486" spans="1:2">
      <c r="A486">
        <v>49810</v>
      </c>
      <c r="B486">
        <v>28405.3013292706</v>
      </c>
    </row>
    <row r="487" spans="1:2">
      <c r="A487">
        <v>18706</v>
      </c>
      <c r="B487">
        <v>11098.205528028</v>
      </c>
    </row>
    <row r="488" spans="1:2">
      <c r="A488">
        <v>28180</v>
      </c>
      <c r="B488">
        <v>15844.8128034847</v>
      </c>
    </row>
    <row r="489" spans="1:2">
      <c r="A489">
        <v>22152</v>
      </c>
      <c r="B489">
        <v>12819.7891339233</v>
      </c>
    </row>
    <row r="490" spans="1:2">
      <c r="A490">
        <v>47720</v>
      </c>
      <c r="B490">
        <v>27611.417989897</v>
      </c>
    </row>
    <row r="491" spans="1:2">
      <c r="A491">
        <v>10087</v>
      </c>
      <c r="B491">
        <v>5637.32797445987</v>
      </c>
    </row>
    <row r="492" spans="1:2">
      <c r="A492">
        <v>6486</v>
      </c>
      <c r="B492">
        <v>4215.75552867412</v>
      </c>
    </row>
    <row r="493" spans="1:2">
      <c r="A493">
        <v>47407</v>
      </c>
      <c r="B493">
        <v>27159.0276734489</v>
      </c>
    </row>
    <row r="494" spans="1:2">
      <c r="A494">
        <v>39600</v>
      </c>
      <c r="B494">
        <v>22253.6414770151</v>
      </c>
    </row>
    <row r="495" spans="1:2">
      <c r="A495">
        <v>4085</v>
      </c>
      <c r="B495">
        <v>2500.18724496881</v>
      </c>
    </row>
    <row r="496" spans="1:2">
      <c r="A496">
        <v>44494</v>
      </c>
      <c r="B496">
        <v>25082.1945908543</v>
      </c>
    </row>
    <row r="497" spans="1:2">
      <c r="A497">
        <v>45371</v>
      </c>
      <c r="B497">
        <v>26669.8362298781</v>
      </c>
    </row>
    <row r="498" spans="1:2">
      <c r="A498">
        <v>25122</v>
      </c>
      <c r="B498">
        <v>15785.6730790611</v>
      </c>
    </row>
    <row r="499" spans="1:2">
      <c r="A499">
        <v>28997</v>
      </c>
      <c r="B499">
        <v>16769.4340154443</v>
      </c>
    </row>
    <row r="500" spans="1:2">
      <c r="A500">
        <v>25774</v>
      </c>
      <c r="B500">
        <v>15085.146118159</v>
      </c>
    </row>
    <row r="501" spans="1:2">
      <c r="A501">
        <v>16887</v>
      </c>
      <c r="B501">
        <v>10976.9971830486</v>
      </c>
    </row>
    <row r="502" spans="1:2">
      <c r="A502">
        <v>47009</v>
      </c>
      <c r="B502">
        <v>27076.7921611932</v>
      </c>
    </row>
    <row r="503" spans="1:2">
      <c r="A503">
        <v>29221</v>
      </c>
      <c r="B503">
        <v>16662.0028964765</v>
      </c>
    </row>
    <row r="504" spans="1:2">
      <c r="A504">
        <v>29860</v>
      </c>
      <c r="B504">
        <v>17699.1934563636</v>
      </c>
    </row>
    <row r="505" spans="1:2">
      <c r="A505">
        <v>27430</v>
      </c>
      <c r="B505">
        <v>16532.4690268413</v>
      </c>
    </row>
    <row r="506" spans="1:2">
      <c r="A506">
        <v>32923</v>
      </c>
      <c r="B506">
        <v>21211.409311973</v>
      </c>
    </row>
    <row r="507" spans="1:2">
      <c r="A507">
        <v>19068</v>
      </c>
      <c r="B507">
        <v>12465.5725282224</v>
      </c>
    </row>
    <row r="508" spans="1:2">
      <c r="A508">
        <v>37312</v>
      </c>
      <c r="B508">
        <v>22405.6343717397</v>
      </c>
    </row>
    <row r="509" spans="1:2">
      <c r="A509">
        <v>19798</v>
      </c>
      <c r="B509">
        <v>11191.3942275973</v>
      </c>
    </row>
    <row r="510" spans="1:2">
      <c r="A510">
        <v>15848</v>
      </c>
      <c r="B510">
        <v>10176.18366835</v>
      </c>
    </row>
    <row r="511" spans="1:2">
      <c r="A511">
        <v>47745</v>
      </c>
      <c r="B511">
        <v>27470.162211158</v>
      </c>
    </row>
    <row r="512" spans="1:2">
      <c r="A512">
        <v>37580</v>
      </c>
      <c r="B512">
        <v>22011.8063824939</v>
      </c>
    </row>
    <row r="513" spans="1:2">
      <c r="A513">
        <v>13725</v>
      </c>
      <c r="B513">
        <v>8694.84750586436</v>
      </c>
    </row>
    <row r="514" spans="1:2">
      <c r="A514">
        <v>34501</v>
      </c>
      <c r="B514">
        <v>19592.3573808455</v>
      </c>
    </row>
    <row r="515" spans="1:2">
      <c r="A515">
        <v>22900</v>
      </c>
      <c r="B515">
        <v>14007.4571622585</v>
      </c>
    </row>
    <row r="516" spans="1:2">
      <c r="A516">
        <v>31333</v>
      </c>
      <c r="B516">
        <v>17354.0043081319</v>
      </c>
    </row>
    <row r="517" spans="1:2">
      <c r="A517">
        <v>27463</v>
      </c>
      <c r="B517">
        <v>16234.1304925589</v>
      </c>
    </row>
    <row r="518" spans="1:2">
      <c r="A518">
        <v>34361</v>
      </c>
      <c r="B518">
        <v>20302.9520665448</v>
      </c>
    </row>
    <row r="519" spans="1:2">
      <c r="A519">
        <v>38751</v>
      </c>
      <c r="B519">
        <v>22243.7470667994</v>
      </c>
    </row>
    <row r="520" spans="1:2">
      <c r="A520">
        <v>48574</v>
      </c>
      <c r="B520">
        <v>28194.2857818612</v>
      </c>
    </row>
    <row r="521" spans="1:2">
      <c r="A521">
        <v>50491</v>
      </c>
      <c r="B521">
        <v>28245.4111241159</v>
      </c>
    </row>
    <row r="522" spans="1:2">
      <c r="A522">
        <v>38501</v>
      </c>
      <c r="B522">
        <v>21746.5468324638</v>
      </c>
    </row>
    <row r="523" spans="1:2">
      <c r="A523">
        <v>30035</v>
      </c>
      <c r="B523">
        <v>19078.8896345719</v>
      </c>
    </row>
    <row r="524" spans="1:2">
      <c r="A524">
        <v>15360</v>
      </c>
      <c r="B524">
        <v>9061.54702635318</v>
      </c>
    </row>
    <row r="525" spans="1:2">
      <c r="A525">
        <v>37659</v>
      </c>
      <c r="B525">
        <v>21410.0114918712</v>
      </c>
    </row>
    <row r="526" spans="1:2">
      <c r="A526">
        <v>15454</v>
      </c>
      <c r="B526">
        <v>9108.71814264561</v>
      </c>
    </row>
    <row r="527" spans="1:2">
      <c r="A527">
        <v>44953</v>
      </c>
      <c r="B527">
        <v>25124.4849605926</v>
      </c>
    </row>
    <row r="528" spans="1:2">
      <c r="A528">
        <v>26269</v>
      </c>
      <c r="B528">
        <v>15406.4253937036</v>
      </c>
    </row>
    <row r="529" spans="1:2">
      <c r="A529">
        <v>42863</v>
      </c>
      <c r="B529">
        <v>24893.5403796405</v>
      </c>
    </row>
    <row r="530" spans="1:2">
      <c r="A530">
        <v>19906</v>
      </c>
      <c r="B530">
        <v>11998.3228184129</v>
      </c>
    </row>
    <row r="531" spans="1:2">
      <c r="A531">
        <v>49462</v>
      </c>
      <c r="B531">
        <v>28474.8390244716</v>
      </c>
    </row>
    <row r="532" spans="1:2">
      <c r="A532">
        <v>31893</v>
      </c>
      <c r="B532">
        <v>19947.6786707692</v>
      </c>
    </row>
    <row r="533" spans="1:2">
      <c r="A533">
        <v>35890</v>
      </c>
      <c r="B533">
        <v>22273.9268467611</v>
      </c>
    </row>
    <row r="534" spans="1:2">
      <c r="A534">
        <v>51202</v>
      </c>
      <c r="B534">
        <v>29236.8646305707</v>
      </c>
    </row>
    <row r="535" spans="1:2">
      <c r="A535">
        <v>17636</v>
      </c>
      <c r="B535">
        <v>9817.66671386152</v>
      </c>
    </row>
    <row r="536" spans="1:2">
      <c r="A536">
        <v>50472</v>
      </c>
      <c r="B536">
        <v>29896.1111100554</v>
      </c>
    </row>
    <row r="537" spans="1:2">
      <c r="A537">
        <v>34839</v>
      </c>
      <c r="B537">
        <v>20573.1395996439</v>
      </c>
    </row>
    <row r="538" spans="1:2">
      <c r="A538">
        <v>43475</v>
      </c>
      <c r="B538">
        <v>24728.2048092514</v>
      </c>
    </row>
    <row r="539" spans="1:2">
      <c r="A539">
        <v>24915</v>
      </c>
      <c r="B539">
        <v>15970.0264883674</v>
      </c>
    </row>
    <row r="540" spans="1:2">
      <c r="A540">
        <v>17034</v>
      </c>
      <c r="B540">
        <v>9518.55678803394</v>
      </c>
    </row>
    <row r="541" spans="1:2">
      <c r="A541">
        <v>35951</v>
      </c>
      <c r="B541">
        <v>22265.1588105975</v>
      </c>
    </row>
    <row r="542" spans="1:2">
      <c r="A542">
        <v>21456</v>
      </c>
      <c r="B542">
        <v>13449.8377633872</v>
      </c>
    </row>
    <row r="543" spans="1:2">
      <c r="A543">
        <v>51256</v>
      </c>
      <c r="B543">
        <v>29626.9102792549</v>
      </c>
    </row>
    <row r="544" spans="1:2">
      <c r="A544">
        <v>46196</v>
      </c>
      <c r="B544">
        <v>28036.9251800524</v>
      </c>
    </row>
    <row r="545" spans="1:2">
      <c r="A545">
        <v>45455</v>
      </c>
      <c r="B545">
        <v>26489.7937578842</v>
      </c>
    </row>
    <row r="546" spans="1:2">
      <c r="A546">
        <v>26107</v>
      </c>
      <c r="B546">
        <v>16356.8494431001</v>
      </c>
    </row>
    <row r="547" spans="1:2">
      <c r="A547">
        <v>45178</v>
      </c>
      <c r="B547">
        <v>26354.4543117273</v>
      </c>
    </row>
    <row r="548" spans="1:2">
      <c r="A548">
        <v>22979</v>
      </c>
      <c r="B548">
        <v>13900.4647279766</v>
      </c>
    </row>
    <row r="549" spans="1:2">
      <c r="A549">
        <v>2638</v>
      </c>
      <c r="B549">
        <v>1681.48791680251</v>
      </c>
    </row>
    <row r="550" spans="1:2">
      <c r="A550">
        <v>23193</v>
      </c>
      <c r="B550">
        <v>13862.5042269822</v>
      </c>
    </row>
    <row r="551" spans="1:2">
      <c r="A551">
        <v>24206</v>
      </c>
      <c r="B551">
        <v>13662.3142265589</v>
      </c>
    </row>
    <row r="552" spans="1:2">
      <c r="A552">
        <v>51035</v>
      </c>
      <c r="B552">
        <v>29876.9764250785</v>
      </c>
    </row>
    <row r="553" spans="1:2">
      <c r="A553">
        <v>26767</v>
      </c>
      <c r="B553">
        <v>15159.585137868</v>
      </c>
    </row>
    <row r="554" spans="1:2">
      <c r="A554">
        <v>39752</v>
      </c>
      <c r="B554">
        <v>23020.0445155297</v>
      </c>
    </row>
    <row r="555" spans="1:2">
      <c r="A555">
        <v>49674</v>
      </c>
      <c r="B555">
        <v>29600.763432072</v>
      </c>
    </row>
    <row r="556" spans="1:2">
      <c r="A556">
        <v>27813</v>
      </c>
      <c r="B556">
        <v>16989.3777136844</v>
      </c>
    </row>
    <row r="557" spans="1:2">
      <c r="A557">
        <v>29054</v>
      </c>
      <c r="B557">
        <v>17096.1068331744</v>
      </c>
    </row>
    <row r="558" spans="1:2">
      <c r="A558">
        <v>26375</v>
      </c>
      <c r="B558">
        <v>15492.1135595319</v>
      </c>
    </row>
    <row r="559" spans="1:2">
      <c r="A559">
        <v>46381</v>
      </c>
      <c r="B559">
        <v>27453.9684843175</v>
      </c>
    </row>
    <row r="560" spans="1:2">
      <c r="A560">
        <v>49621</v>
      </c>
      <c r="B560">
        <v>29604.0771723571</v>
      </c>
    </row>
    <row r="561" spans="1:2">
      <c r="A561">
        <v>40813</v>
      </c>
      <c r="B561">
        <v>23302.2211988815</v>
      </c>
    </row>
    <row r="562" spans="1:2">
      <c r="A562">
        <v>1801</v>
      </c>
      <c r="B562">
        <v>1074.15549637346</v>
      </c>
    </row>
    <row r="563" spans="1:2">
      <c r="A563">
        <v>35037</v>
      </c>
      <c r="B563">
        <v>19595.961869844</v>
      </c>
    </row>
    <row r="564" spans="1:2">
      <c r="A564">
        <v>31390</v>
      </c>
      <c r="B564">
        <v>18648.2396152187</v>
      </c>
    </row>
    <row r="565" spans="1:2">
      <c r="A565">
        <v>41596</v>
      </c>
      <c r="B565">
        <v>23145.2688621564</v>
      </c>
    </row>
    <row r="566" spans="1:2">
      <c r="A566">
        <v>11649</v>
      </c>
      <c r="B566">
        <v>7331.90585260238</v>
      </c>
    </row>
    <row r="567" spans="1:2">
      <c r="A567">
        <v>46168</v>
      </c>
      <c r="B567">
        <v>26416.8734076021</v>
      </c>
    </row>
    <row r="568" spans="1:2">
      <c r="A568">
        <v>26767</v>
      </c>
      <c r="B568">
        <v>15145.7852450478</v>
      </c>
    </row>
    <row r="569" spans="1:2">
      <c r="A569">
        <v>23378</v>
      </c>
      <c r="B569">
        <v>13882.3400337594</v>
      </c>
    </row>
    <row r="570" spans="1:2">
      <c r="A570">
        <v>22273</v>
      </c>
      <c r="B570">
        <v>12382.4099430968</v>
      </c>
    </row>
    <row r="571" spans="1:2">
      <c r="A571">
        <v>19919</v>
      </c>
      <c r="B571">
        <v>12245.1322203011</v>
      </c>
    </row>
    <row r="572" spans="1:2">
      <c r="A572">
        <v>48251</v>
      </c>
      <c r="B572">
        <v>28688.1377503606</v>
      </c>
    </row>
    <row r="573" spans="1:2">
      <c r="A573">
        <v>30354</v>
      </c>
      <c r="B573">
        <v>17298.6964223788</v>
      </c>
    </row>
    <row r="574" spans="1:2">
      <c r="A574">
        <v>30318</v>
      </c>
      <c r="B574">
        <v>18517.4743546349</v>
      </c>
    </row>
    <row r="575" spans="1:2">
      <c r="A575">
        <v>40316</v>
      </c>
      <c r="B575">
        <v>22942.5897381844</v>
      </c>
    </row>
    <row r="576" spans="1:2">
      <c r="A576">
        <v>49981</v>
      </c>
      <c r="B576">
        <v>27860.7171737333</v>
      </c>
    </row>
    <row r="577" spans="1:2">
      <c r="A577">
        <v>35950</v>
      </c>
      <c r="B577">
        <v>21438.976852056</v>
      </c>
    </row>
    <row r="578" spans="1:2">
      <c r="A578">
        <v>6974</v>
      </c>
      <c r="B578">
        <v>4372.27883978386</v>
      </c>
    </row>
    <row r="579" spans="1:2">
      <c r="A579">
        <v>32913</v>
      </c>
      <c r="B579">
        <v>19686.799788536</v>
      </c>
    </row>
    <row r="580" spans="1:2">
      <c r="A580">
        <v>35411</v>
      </c>
      <c r="B580">
        <v>20579.8871429367</v>
      </c>
    </row>
    <row r="581" spans="1:2">
      <c r="A581">
        <v>35217</v>
      </c>
      <c r="B581">
        <v>21669.3799268634</v>
      </c>
    </row>
    <row r="582" spans="1:2">
      <c r="A582">
        <v>14130</v>
      </c>
      <c r="B582">
        <v>8870.29477246411</v>
      </c>
    </row>
    <row r="583" spans="1:2">
      <c r="A583">
        <v>38076</v>
      </c>
      <c r="B583">
        <v>21946.9203324726</v>
      </c>
    </row>
    <row r="584" spans="1:2">
      <c r="A584">
        <v>31784</v>
      </c>
      <c r="B584">
        <v>17597.2134765347</v>
      </c>
    </row>
    <row r="585" spans="1:2">
      <c r="A585">
        <v>32820</v>
      </c>
      <c r="B585">
        <v>18211.4430948344</v>
      </c>
    </row>
    <row r="586" spans="1:2">
      <c r="A586">
        <v>34191</v>
      </c>
      <c r="B586">
        <v>20876.8001950984</v>
      </c>
    </row>
    <row r="587" spans="1:2">
      <c r="A587">
        <v>50936</v>
      </c>
      <c r="B587">
        <v>28711.1545371872</v>
      </c>
    </row>
    <row r="588" spans="1:2">
      <c r="A588">
        <v>44097</v>
      </c>
      <c r="B588">
        <v>25117.3654921776</v>
      </c>
    </row>
    <row r="589" spans="1:2">
      <c r="A589">
        <v>47909</v>
      </c>
      <c r="B589">
        <v>27385.7051138743</v>
      </c>
    </row>
    <row r="590" spans="1:2">
      <c r="A590">
        <v>30362</v>
      </c>
      <c r="B590">
        <v>18220.9302038957</v>
      </c>
    </row>
    <row r="591" spans="1:2">
      <c r="A591">
        <v>33935</v>
      </c>
      <c r="B591">
        <v>21120.1349898084</v>
      </c>
    </row>
    <row r="592" spans="1:2">
      <c r="A592">
        <v>44029</v>
      </c>
      <c r="B592">
        <v>24889.3232774736</v>
      </c>
    </row>
    <row r="593" spans="1:2">
      <c r="A593">
        <v>33008</v>
      </c>
      <c r="B593">
        <v>18316.3786040711</v>
      </c>
    </row>
    <row r="594" spans="1:2">
      <c r="A594">
        <v>41885</v>
      </c>
      <c r="B594">
        <v>24281.8899724521</v>
      </c>
    </row>
    <row r="595" spans="1:2">
      <c r="A595">
        <v>37920</v>
      </c>
      <c r="B595">
        <v>21752.9231309106</v>
      </c>
    </row>
    <row r="596" spans="1:2">
      <c r="A596">
        <v>45552</v>
      </c>
      <c r="B596">
        <v>27110.3504638178</v>
      </c>
    </row>
    <row r="597" spans="1:2">
      <c r="A597">
        <v>30036</v>
      </c>
      <c r="B597">
        <v>17652.9721481544</v>
      </c>
    </row>
    <row r="598" spans="1:2">
      <c r="A598">
        <v>32442</v>
      </c>
      <c r="B598">
        <v>20663.1262687549</v>
      </c>
    </row>
    <row r="599" spans="1:2">
      <c r="A599">
        <v>16455</v>
      </c>
      <c r="B599">
        <v>9325.57145712497</v>
      </c>
    </row>
    <row r="600" spans="1:2">
      <c r="A600">
        <v>44705</v>
      </c>
      <c r="B600">
        <v>26430.5848133504</v>
      </c>
    </row>
    <row r="601" spans="1:2">
      <c r="A601">
        <v>45018</v>
      </c>
      <c r="B601">
        <v>26241.0633380361</v>
      </c>
    </row>
    <row r="602" spans="1:2">
      <c r="A602">
        <v>5817</v>
      </c>
      <c r="B602">
        <v>3652.75647072175</v>
      </c>
    </row>
    <row r="603" spans="1:2">
      <c r="A603">
        <v>39334</v>
      </c>
      <c r="B603">
        <v>21982.6459020428</v>
      </c>
    </row>
    <row r="604" spans="1:2">
      <c r="A604">
        <v>46927</v>
      </c>
      <c r="B604">
        <v>27415.8440441233</v>
      </c>
    </row>
    <row r="605" spans="1:2">
      <c r="A605">
        <v>31987</v>
      </c>
      <c r="B605">
        <v>18134.0435920832</v>
      </c>
    </row>
    <row r="606" spans="1:2">
      <c r="A606">
        <v>22828</v>
      </c>
      <c r="B606">
        <v>14676.3023203878</v>
      </c>
    </row>
    <row r="607" spans="1:2">
      <c r="A607">
        <v>28444</v>
      </c>
      <c r="B607">
        <v>16053.4399396241</v>
      </c>
    </row>
    <row r="608" spans="1:2">
      <c r="A608">
        <v>13825</v>
      </c>
      <c r="B608">
        <v>8895.89202408449</v>
      </c>
    </row>
    <row r="609" spans="1:2">
      <c r="A609">
        <v>38191</v>
      </c>
      <c r="B609">
        <v>21487.4377522326</v>
      </c>
    </row>
    <row r="610" spans="1:2">
      <c r="A610">
        <v>41816</v>
      </c>
      <c r="B610">
        <v>23198.9771990417</v>
      </c>
    </row>
    <row r="611" spans="1:2">
      <c r="A611">
        <v>16673</v>
      </c>
      <c r="B611">
        <v>9859.74698761202</v>
      </c>
    </row>
    <row r="612" spans="1:2">
      <c r="A612">
        <v>48293</v>
      </c>
      <c r="B612">
        <v>27739.26488045</v>
      </c>
    </row>
    <row r="613" spans="1:2">
      <c r="A613">
        <v>31836</v>
      </c>
      <c r="B613">
        <v>20453.0487520909</v>
      </c>
    </row>
    <row r="614" spans="1:2">
      <c r="A614">
        <v>35875</v>
      </c>
      <c r="B614">
        <v>20937.2953711686</v>
      </c>
    </row>
    <row r="615" spans="1:2">
      <c r="A615">
        <v>34967</v>
      </c>
      <c r="B615">
        <v>21435.5771070546</v>
      </c>
    </row>
    <row r="616" spans="1:2">
      <c r="A616">
        <v>35659</v>
      </c>
      <c r="B616">
        <v>19814.3507654386</v>
      </c>
    </row>
    <row r="617" spans="1:2">
      <c r="A617">
        <v>39940</v>
      </c>
      <c r="B617">
        <v>23030.1522604913</v>
      </c>
    </row>
    <row r="618" spans="1:2">
      <c r="A618">
        <v>14291</v>
      </c>
      <c r="B618">
        <v>8457.4506694619</v>
      </c>
    </row>
    <row r="619" spans="1:2">
      <c r="A619">
        <v>36532</v>
      </c>
      <c r="B619">
        <v>22463.6597105379</v>
      </c>
    </row>
    <row r="620" spans="1:2">
      <c r="A620">
        <v>46628</v>
      </c>
      <c r="B620">
        <v>26902.4664771492</v>
      </c>
    </row>
    <row r="621" spans="1:2">
      <c r="A621">
        <v>49561</v>
      </c>
      <c r="B621">
        <v>27520.6535375215</v>
      </c>
    </row>
    <row r="622" spans="1:2">
      <c r="A622">
        <v>34211</v>
      </c>
      <c r="B622">
        <v>20176.7313520139</v>
      </c>
    </row>
    <row r="623" spans="1:2">
      <c r="A623">
        <v>16464</v>
      </c>
      <c r="B623">
        <v>9336.34809837326</v>
      </c>
    </row>
    <row r="624" spans="1:2">
      <c r="A624">
        <v>29428</v>
      </c>
      <c r="B624">
        <v>18614.0111814827</v>
      </c>
    </row>
    <row r="625" spans="1:2">
      <c r="A625">
        <v>46059</v>
      </c>
      <c r="B625">
        <v>27851.8012562273</v>
      </c>
    </row>
    <row r="626" spans="1:2">
      <c r="A626">
        <v>45000</v>
      </c>
      <c r="B626">
        <v>27519.3317186654</v>
      </c>
    </row>
    <row r="627" spans="1:2">
      <c r="A627">
        <v>36922</v>
      </c>
      <c r="B627">
        <v>22869.3776447095</v>
      </c>
    </row>
    <row r="628" spans="1:2">
      <c r="A628">
        <v>34621</v>
      </c>
      <c r="B628">
        <v>20444.2067388748</v>
      </c>
    </row>
    <row r="629" spans="1:2">
      <c r="A629">
        <v>23913</v>
      </c>
      <c r="B629">
        <v>13889.0825830372</v>
      </c>
    </row>
    <row r="630" spans="1:2">
      <c r="A630">
        <v>44445</v>
      </c>
      <c r="B630">
        <v>25775.1837282728</v>
      </c>
    </row>
    <row r="631" spans="1:2">
      <c r="A631">
        <v>36150</v>
      </c>
      <c r="B631">
        <v>22090.1775072421</v>
      </c>
    </row>
    <row r="632" spans="1:2">
      <c r="A632">
        <v>15931</v>
      </c>
      <c r="B632">
        <v>10428.6118708472</v>
      </c>
    </row>
    <row r="633" spans="1:2">
      <c r="A633">
        <v>25806</v>
      </c>
      <c r="B633">
        <v>15579.047284418</v>
      </c>
    </row>
    <row r="634" spans="1:2">
      <c r="A634">
        <v>44487</v>
      </c>
      <c r="B634">
        <v>25732.8373125203</v>
      </c>
    </row>
    <row r="635" spans="1:2">
      <c r="A635">
        <v>11690</v>
      </c>
      <c r="B635">
        <v>7613.83911856103</v>
      </c>
    </row>
    <row r="636" spans="1:2">
      <c r="A636">
        <v>46362</v>
      </c>
      <c r="B636">
        <v>26360.1133126087</v>
      </c>
    </row>
    <row r="637" spans="1:2">
      <c r="A637">
        <v>48649</v>
      </c>
      <c r="B637">
        <v>27568.3628365868</v>
      </c>
    </row>
    <row r="638" spans="1:2">
      <c r="A638">
        <v>7965</v>
      </c>
      <c r="B638">
        <v>5069.70227828834</v>
      </c>
    </row>
    <row r="639" spans="1:2">
      <c r="A639">
        <v>29869</v>
      </c>
      <c r="B639">
        <v>18178.6335567764</v>
      </c>
    </row>
    <row r="640" spans="1:2">
      <c r="A640">
        <v>21442</v>
      </c>
      <c r="B640">
        <v>12656.8792149733</v>
      </c>
    </row>
    <row r="641" spans="1:2">
      <c r="A641">
        <v>48090</v>
      </c>
      <c r="B641">
        <v>28830.5080989773</v>
      </c>
    </row>
    <row r="642" spans="1:2">
      <c r="A642">
        <v>45012</v>
      </c>
      <c r="B642">
        <v>26420.0307482973</v>
      </c>
    </row>
    <row r="643" spans="1:2">
      <c r="A643">
        <v>22101</v>
      </c>
      <c r="B643">
        <v>12513.7761437574</v>
      </c>
    </row>
    <row r="644" spans="1:2">
      <c r="A644">
        <v>38424</v>
      </c>
      <c r="B644">
        <v>21349.0484142263</v>
      </c>
    </row>
    <row r="645" spans="1:2">
      <c r="A645">
        <v>33090</v>
      </c>
      <c r="B645">
        <v>19874.6417124037</v>
      </c>
    </row>
    <row r="646" spans="1:2">
      <c r="A646">
        <v>13722</v>
      </c>
      <c r="B646">
        <v>8487.33888711601</v>
      </c>
    </row>
    <row r="647" spans="1:2">
      <c r="A647">
        <v>29406</v>
      </c>
      <c r="B647">
        <v>16344.5442230671</v>
      </c>
    </row>
    <row r="648" spans="1:2">
      <c r="A648">
        <v>41558</v>
      </c>
      <c r="B648">
        <v>24125.6505376093</v>
      </c>
    </row>
    <row r="649" spans="1:2">
      <c r="A649">
        <v>13513</v>
      </c>
      <c r="B649">
        <v>8092.80275235693</v>
      </c>
    </row>
    <row r="650" spans="1:2">
      <c r="A650">
        <v>34124</v>
      </c>
      <c r="B650">
        <v>19152.4854889972</v>
      </c>
    </row>
    <row r="651" spans="1:2">
      <c r="A651">
        <v>43884</v>
      </c>
      <c r="B651">
        <v>26373.1659551456</v>
      </c>
    </row>
    <row r="652" spans="1:2">
      <c r="A652">
        <v>19004</v>
      </c>
      <c r="B652">
        <v>10955.1954316548</v>
      </c>
    </row>
    <row r="653" spans="1:2">
      <c r="A653">
        <v>29852</v>
      </c>
      <c r="B653">
        <v>17696.2670889849</v>
      </c>
    </row>
    <row r="654" spans="1:2">
      <c r="A654">
        <v>25794</v>
      </c>
      <c r="B654">
        <v>14390.3124914944</v>
      </c>
    </row>
    <row r="655" spans="1:2">
      <c r="A655">
        <v>33398</v>
      </c>
      <c r="B655">
        <v>18811.5093879141</v>
      </c>
    </row>
    <row r="656" spans="1:2">
      <c r="A656">
        <v>19741</v>
      </c>
      <c r="B656">
        <v>11361.8854980438</v>
      </c>
    </row>
    <row r="657" spans="1:2">
      <c r="A657">
        <v>50686</v>
      </c>
      <c r="B657">
        <v>28962.8201442331</v>
      </c>
    </row>
    <row r="658" spans="1:2">
      <c r="A658">
        <v>45045</v>
      </c>
      <c r="B658">
        <v>25036.9525281233</v>
      </c>
    </row>
    <row r="659" spans="1:2">
      <c r="A659">
        <v>31204</v>
      </c>
      <c r="B659">
        <v>19473.7100700346</v>
      </c>
    </row>
    <row r="660" spans="1:2">
      <c r="A660">
        <v>40687</v>
      </c>
      <c r="B660">
        <v>24108.1823942815</v>
      </c>
    </row>
    <row r="661" spans="1:2">
      <c r="A661">
        <v>969</v>
      </c>
      <c r="B661">
        <v>550.427759617454</v>
      </c>
    </row>
    <row r="662" spans="1:2">
      <c r="A662">
        <v>48359</v>
      </c>
      <c r="B662">
        <v>28358.1435670609</v>
      </c>
    </row>
    <row r="663" spans="1:2">
      <c r="A663">
        <v>40291</v>
      </c>
      <c r="B663">
        <v>22590.1834637866</v>
      </c>
    </row>
    <row r="664" spans="1:2">
      <c r="A664">
        <v>41743</v>
      </c>
      <c r="B664">
        <v>25360.3072216661</v>
      </c>
    </row>
    <row r="665" spans="1:2">
      <c r="A665">
        <v>45233</v>
      </c>
      <c r="B665">
        <v>26983.017794437</v>
      </c>
    </row>
    <row r="666" spans="1:2">
      <c r="A666">
        <v>41436</v>
      </c>
      <c r="B666">
        <v>25645.3900579161</v>
      </c>
    </row>
    <row r="667" spans="1:2">
      <c r="A667">
        <v>15988</v>
      </c>
      <c r="B667">
        <v>9819.38345043189</v>
      </c>
    </row>
    <row r="668" spans="1:2">
      <c r="A668">
        <v>42293</v>
      </c>
      <c r="B668">
        <v>26021.7845657439</v>
      </c>
    </row>
    <row r="669" spans="1:2">
      <c r="A669">
        <v>38785</v>
      </c>
      <c r="B669">
        <v>23175.4467489805</v>
      </c>
    </row>
    <row r="670" spans="1:2">
      <c r="A670">
        <v>40670</v>
      </c>
      <c r="B670">
        <v>24670.7830890702</v>
      </c>
    </row>
    <row r="671" spans="1:2">
      <c r="A671">
        <v>27849</v>
      </c>
      <c r="B671">
        <v>17873.1697327552</v>
      </c>
    </row>
    <row r="672" spans="1:2">
      <c r="A672">
        <v>24724</v>
      </c>
      <c r="B672">
        <v>14868.242633746</v>
      </c>
    </row>
    <row r="673" spans="1:2">
      <c r="A673">
        <v>47807</v>
      </c>
      <c r="B673">
        <v>28600.2498090185</v>
      </c>
    </row>
    <row r="674" spans="1:2">
      <c r="A674">
        <v>39085</v>
      </c>
      <c r="B674">
        <v>22001.1101909005</v>
      </c>
    </row>
    <row r="675" spans="1:2">
      <c r="A675">
        <v>28941</v>
      </c>
      <c r="B675">
        <v>18692.9680284398</v>
      </c>
    </row>
    <row r="676" spans="1:2">
      <c r="A676">
        <v>47266</v>
      </c>
      <c r="B676">
        <v>28220.6478749524</v>
      </c>
    </row>
    <row r="677" spans="1:2">
      <c r="A677">
        <v>30790</v>
      </c>
      <c r="B677">
        <v>19567.236701967</v>
      </c>
    </row>
    <row r="678" spans="1:2">
      <c r="A678">
        <v>51594</v>
      </c>
      <c r="B678">
        <v>29742.5574958385</v>
      </c>
    </row>
    <row r="679" spans="1:2">
      <c r="A679">
        <v>37448</v>
      </c>
      <c r="B679">
        <v>22821.7914489047</v>
      </c>
    </row>
    <row r="680" spans="1:2">
      <c r="A680">
        <v>36546</v>
      </c>
      <c r="B680">
        <v>22675.3657991637</v>
      </c>
    </row>
    <row r="681" spans="1:2">
      <c r="A681">
        <v>34461</v>
      </c>
      <c r="B681">
        <v>20894.2573848637</v>
      </c>
    </row>
    <row r="682" spans="1:2">
      <c r="A682">
        <v>27937</v>
      </c>
      <c r="B682">
        <v>15508.8913157126</v>
      </c>
    </row>
    <row r="683" spans="1:2">
      <c r="A683">
        <v>15409</v>
      </c>
      <c r="B683">
        <v>9803.23586343667</v>
      </c>
    </row>
    <row r="684" spans="1:2">
      <c r="A684">
        <v>20220</v>
      </c>
      <c r="B684">
        <v>12164.8434611115</v>
      </c>
    </row>
    <row r="685" spans="1:2">
      <c r="A685">
        <v>48537</v>
      </c>
      <c r="B685">
        <v>27868.9673644911</v>
      </c>
    </row>
    <row r="689" spans="1:2">
      <c r="A689" s="1"/>
      <c r="B689" s="1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J19" sqref="J19"/>
    </sheetView>
  </sheetViews>
  <sheetFormatPr defaultColWidth="9" defaultRowHeight="14" outlineLevelRow="1"/>
  <cols>
    <col min="1" max="1" width="8.88333333333333" style="2"/>
    <col min="2" max="2" width="29.6666666666667" style="2" customWidth="1"/>
    <col min="3" max="3" width="8.88333333333333" style="2"/>
    <col min="4" max="5" width="10.8833333333333" style="2" customWidth="1"/>
    <col min="6" max="6" width="12.775" style="2" customWidth="1"/>
    <col min="7" max="7" width="11.2166666666667" style="2" customWidth="1"/>
    <col min="8" max="16384" width="8.88333333333333" style="2"/>
  </cols>
  <sheetData>
    <row r="1" ht="56" spans="1:10">
      <c r="A1" s="3" t="s">
        <v>282</v>
      </c>
      <c r="B1" s="3" t="s">
        <v>434</v>
      </c>
      <c r="C1" s="3" t="s">
        <v>283</v>
      </c>
      <c r="D1" s="4" t="s">
        <v>572</v>
      </c>
      <c r="E1" s="4" t="s">
        <v>573</v>
      </c>
      <c r="F1" s="3" t="s">
        <v>287</v>
      </c>
      <c r="G1" s="5" t="s">
        <v>574</v>
      </c>
      <c r="H1" s="4" t="s">
        <v>475</v>
      </c>
      <c r="I1" s="5" t="s">
        <v>576</v>
      </c>
      <c r="J1" s="5" t="s">
        <v>583</v>
      </c>
    </row>
    <row r="2" spans="1:10">
      <c r="A2" s="2">
        <v>1</v>
      </c>
      <c r="B2" s="2" t="s">
        <v>584</v>
      </c>
      <c r="C2" s="2">
        <v>2020</v>
      </c>
      <c r="D2" s="2">
        <v>11.22</v>
      </c>
      <c r="E2" s="2">
        <v>7.16</v>
      </c>
      <c r="F2" s="2">
        <v>13384.72</v>
      </c>
      <c r="G2" s="2">
        <v>72338.12</v>
      </c>
      <c r="H2" s="2">
        <v>57.07</v>
      </c>
      <c r="I2" s="2">
        <v>72395</v>
      </c>
      <c r="J2" s="2">
        <v>49811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5"/>
  <sheetViews>
    <sheetView topLeftCell="A179" workbookViewId="0">
      <selection activeCell="J202" sqref="J202"/>
    </sheetView>
  </sheetViews>
  <sheetFormatPr defaultColWidth="9" defaultRowHeight="14" outlineLevelCol="1"/>
  <sheetData>
    <row r="1" spans="1:2">
      <c r="A1" t="s">
        <v>567</v>
      </c>
      <c r="B1" t="s">
        <v>568</v>
      </c>
    </row>
    <row r="2" spans="1:2">
      <c r="A2">
        <v>15249</v>
      </c>
      <c r="B2">
        <v>8030.77726025307</v>
      </c>
    </row>
    <row r="3" spans="1:2">
      <c r="A3">
        <v>45639</v>
      </c>
      <c r="B3">
        <v>24009.7730718487</v>
      </c>
    </row>
    <row r="4" spans="1:2">
      <c r="A4">
        <v>155743</v>
      </c>
      <c r="B4">
        <v>81885.6143919688</v>
      </c>
    </row>
    <row r="5" spans="1:2">
      <c r="A5">
        <v>48411</v>
      </c>
      <c r="B5">
        <v>25480.2783925741</v>
      </c>
    </row>
    <row r="6" spans="1:2">
      <c r="A6">
        <v>59821</v>
      </c>
      <c r="B6">
        <v>31487.9251318259</v>
      </c>
    </row>
    <row r="7" spans="1:2">
      <c r="A7">
        <v>47104</v>
      </c>
      <c r="B7">
        <v>24800.3585996516</v>
      </c>
    </row>
    <row r="8" spans="1:2">
      <c r="A8">
        <v>128894</v>
      </c>
      <c r="B8">
        <v>67796.4307034597</v>
      </c>
    </row>
    <row r="9" spans="1:2">
      <c r="A9">
        <v>117097</v>
      </c>
      <c r="B9">
        <v>61560.448986764</v>
      </c>
    </row>
    <row r="10" spans="1:2">
      <c r="A10">
        <v>144797</v>
      </c>
      <c r="B10">
        <v>76157.8035658832</v>
      </c>
    </row>
    <row r="11" spans="1:2">
      <c r="A11">
        <v>51016</v>
      </c>
      <c r="B11">
        <v>26867.5080087783</v>
      </c>
    </row>
    <row r="12" spans="1:2">
      <c r="A12">
        <v>42596</v>
      </c>
      <c r="B12">
        <v>22430.6001614445</v>
      </c>
    </row>
    <row r="13" spans="1:2">
      <c r="A13">
        <v>122668</v>
      </c>
      <c r="B13">
        <v>64520.7731979393</v>
      </c>
    </row>
    <row r="14" spans="1:2">
      <c r="A14">
        <v>155569</v>
      </c>
      <c r="B14">
        <v>81801.6149490456</v>
      </c>
    </row>
    <row r="15" spans="1:2">
      <c r="A15">
        <v>19204</v>
      </c>
      <c r="B15">
        <v>10148.3920320048</v>
      </c>
    </row>
    <row r="16" spans="1:2">
      <c r="A16">
        <v>40369</v>
      </c>
      <c r="B16">
        <v>21234.8796439015</v>
      </c>
    </row>
    <row r="17" spans="1:2">
      <c r="A17">
        <v>28035</v>
      </c>
      <c r="B17">
        <v>14783.8361813828</v>
      </c>
    </row>
    <row r="18" spans="1:2">
      <c r="A18">
        <v>134168</v>
      </c>
      <c r="B18">
        <v>70576.7392516284</v>
      </c>
    </row>
    <row r="19" spans="1:2">
      <c r="A19">
        <v>65661</v>
      </c>
      <c r="B19">
        <v>34556.9198039595</v>
      </c>
    </row>
    <row r="20" spans="1:2">
      <c r="A20">
        <v>111777</v>
      </c>
      <c r="B20">
        <v>58788.1197760547</v>
      </c>
    </row>
    <row r="21" spans="1:2">
      <c r="A21">
        <v>30498</v>
      </c>
      <c r="B21">
        <v>16094.4052703663</v>
      </c>
    </row>
    <row r="22" spans="1:2">
      <c r="A22">
        <v>142892</v>
      </c>
      <c r="B22">
        <v>75149.7140641623</v>
      </c>
    </row>
    <row r="23" spans="1:2">
      <c r="A23">
        <v>140954</v>
      </c>
      <c r="B23">
        <v>74118.8110360031</v>
      </c>
    </row>
    <row r="24" spans="1:2">
      <c r="A24">
        <v>2343</v>
      </c>
      <c r="B24">
        <v>1265.25742969267</v>
      </c>
    </row>
    <row r="25" spans="1:2">
      <c r="A25">
        <v>136775</v>
      </c>
      <c r="B25">
        <v>71937.2783295059</v>
      </c>
    </row>
    <row r="26" spans="1:2">
      <c r="A26">
        <v>21537</v>
      </c>
      <c r="B26">
        <v>11354.7411844692</v>
      </c>
    </row>
    <row r="27" spans="1:2">
      <c r="A27">
        <v>8976</v>
      </c>
      <c r="B27">
        <v>4753.52590370093</v>
      </c>
    </row>
    <row r="28" spans="1:2">
      <c r="A28">
        <v>100716</v>
      </c>
      <c r="B28">
        <v>52972.8710603092</v>
      </c>
    </row>
    <row r="29" spans="1:2">
      <c r="A29">
        <v>77199</v>
      </c>
      <c r="B29">
        <v>40638.7773862271</v>
      </c>
    </row>
    <row r="30" spans="1:2">
      <c r="A30">
        <v>110423</v>
      </c>
      <c r="B30">
        <v>58084.5827120459</v>
      </c>
    </row>
    <row r="31" spans="1:2">
      <c r="A31">
        <v>39704</v>
      </c>
      <c r="B31">
        <v>20907.0618667195</v>
      </c>
    </row>
    <row r="32" spans="1:2">
      <c r="A32">
        <v>39334</v>
      </c>
      <c r="B32">
        <v>20700.4841182944</v>
      </c>
    </row>
    <row r="33" spans="1:2">
      <c r="A33">
        <v>104110</v>
      </c>
      <c r="B33">
        <v>54753.2673538489</v>
      </c>
    </row>
    <row r="34" spans="1:2">
      <c r="A34">
        <v>86654</v>
      </c>
      <c r="B34">
        <v>45597.9915424693</v>
      </c>
    </row>
    <row r="35" spans="1:2">
      <c r="A35">
        <v>104799</v>
      </c>
      <c r="B35">
        <v>55122.9340232536</v>
      </c>
    </row>
    <row r="36" spans="1:2">
      <c r="A36">
        <v>124169</v>
      </c>
      <c r="B36">
        <v>65298.9790051723</v>
      </c>
    </row>
    <row r="37" spans="1:2">
      <c r="A37">
        <v>100985</v>
      </c>
      <c r="B37">
        <v>53125.2054471525</v>
      </c>
    </row>
    <row r="38" spans="1:2">
      <c r="A38">
        <v>121354</v>
      </c>
      <c r="B38">
        <v>63841.6796145119</v>
      </c>
    </row>
    <row r="39" spans="1:2">
      <c r="A39">
        <v>27763</v>
      </c>
      <c r="B39">
        <v>14639.8570647205</v>
      </c>
    </row>
    <row r="40" spans="1:2">
      <c r="A40">
        <v>73519</v>
      </c>
      <c r="B40">
        <v>38698.7319971327</v>
      </c>
    </row>
    <row r="41" spans="1:2">
      <c r="A41">
        <v>98675</v>
      </c>
      <c r="B41">
        <v>51894.5714242779</v>
      </c>
    </row>
    <row r="42" spans="1:2">
      <c r="A42">
        <v>142105</v>
      </c>
      <c r="B42">
        <v>74754.7094551199</v>
      </c>
    </row>
    <row r="43" spans="1:2">
      <c r="A43">
        <v>118272</v>
      </c>
      <c r="B43">
        <v>62216.8133614001</v>
      </c>
    </row>
    <row r="44" spans="1:2">
      <c r="A44">
        <v>31425</v>
      </c>
      <c r="B44">
        <v>16567.1576743297</v>
      </c>
    </row>
    <row r="45" spans="1:2">
      <c r="A45">
        <v>53546</v>
      </c>
      <c r="B45">
        <v>28163.5627895785</v>
      </c>
    </row>
    <row r="46" spans="1:2">
      <c r="A46">
        <v>83524</v>
      </c>
      <c r="B46">
        <v>43947.7217770817</v>
      </c>
    </row>
    <row r="47" spans="1:2">
      <c r="A47">
        <v>77919</v>
      </c>
      <c r="B47">
        <v>40981.9566098376</v>
      </c>
    </row>
    <row r="48" spans="1:2">
      <c r="A48">
        <v>46426</v>
      </c>
      <c r="B48">
        <v>24459.3926004297</v>
      </c>
    </row>
    <row r="49" spans="1:2">
      <c r="A49">
        <v>35590</v>
      </c>
      <c r="B49">
        <v>18725.1010389343</v>
      </c>
    </row>
    <row r="50" spans="1:2">
      <c r="A50">
        <v>103322</v>
      </c>
      <c r="B50">
        <v>54350.1991175173</v>
      </c>
    </row>
    <row r="51" spans="1:2">
      <c r="A51">
        <v>36825</v>
      </c>
      <c r="B51">
        <v>19382.6276129808</v>
      </c>
    </row>
    <row r="52" spans="1:2">
      <c r="A52">
        <v>59205</v>
      </c>
      <c r="B52">
        <v>31153.1256447525</v>
      </c>
    </row>
    <row r="53" spans="1:2">
      <c r="A53">
        <v>90894</v>
      </c>
      <c r="B53">
        <v>47826.67476146</v>
      </c>
    </row>
    <row r="54" spans="1:2">
      <c r="A54">
        <v>23992</v>
      </c>
      <c r="B54">
        <v>12632.2301595075</v>
      </c>
    </row>
    <row r="55" spans="1:2">
      <c r="A55">
        <v>86859</v>
      </c>
      <c r="B55">
        <v>45682.6267109557</v>
      </c>
    </row>
    <row r="56" spans="1:2">
      <c r="A56">
        <v>36565</v>
      </c>
      <c r="B56">
        <v>19260.4828808644</v>
      </c>
    </row>
    <row r="57" spans="1:2">
      <c r="A57">
        <v>82103</v>
      </c>
      <c r="B57">
        <v>43196.5981095217</v>
      </c>
    </row>
    <row r="58" spans="1:2">
      <c r="A58">
        <v>62311</v>
      </c>
      <c r="B58">
        <v>32780.8458460579</v>
      </c>
    </row>
    <row r="59" spans="1:2">
      <c r="A59">
        <v>39326</v>
      </c>
      <c r="B59">
        <v>20717.8206494383</v>
      </c>
    </row>
    <row r="60" spans="1:2">
      <c r="A60">
        <v>101781</v>
      </c>
      <c r="B60">
        <v>53520.682152826</v>
      </c>
    </row>
    <row r="61" spans="1:2">
      <c r="A61">
        <v>92223</v>
      </c>
      <c r="B61">
        <v>48505.4792721427</v>
      </c>
    </row>
    <row r="62" spans="1:2">
      <c r="A62">
        <v>10004</v>
      </c>
      <c r="B62">
        <v>5297.4452363784</v>
      </c>
    </row>
    <row r="63" spans="1:2">
      <c r="A63">
        <v>142857</v>
      </c>
      <c r="B63">
        <v>75135.9730857531</v>
      </c>
    </row>
    <row r="64" spans="1:2">
      <c r="A64">
        <v>35873</v>
      </c>
      <c r="B64">
        <v>18881.8507881481</v>
      </c>
    </row>
    <row r="65" spans="1:2">
      <c r="A65">
        <v>1666</v>
      </c>
      <c r="B65">
        <v>917.7166810224</v>
      </c>
    </row>
    <row r="66" spans="1:2">
      <c r="A66">
        <v>37421</v>
      </c>
      <c r="B66">
        <v>19721.6640248787</v>
      </c>
    </row>
    <row r="67" spans="1:2">
      <c r="A67">
        <v>141715</v>
      </c>
      <c r="B67">
        <v>74520.0385858432</v>
      </c>
    </row>
    <row r="68" spans="1:2">
      <c r="A68">
        <v>108206</v>
      </c>
      <c r="B68">
        <v>56935.462484922</v>
      </c>
    </row>
    <row r="69" spans="1:2">
      <c r="A69">
        <v>108594</v>
      </c>
      <c r="B69">
        <v>57120.4361410032</v>
      </c>
    </row>
    <row r="70" spans="1:2">
      <c r="A70">
        <v>92120</v>
      </c>
      <c r="B70">
        <v>48479.4754801971</v>
      </c>
    </row>
    <row r="71" spans="1:2">
      <c r="A71">
        <v>84489</v>
      </c>
      <c r="B71">
        <v>44444.8263039919</v>
      </c>
    </row>
    <row r="72" spans="1:2">
      <c r="A72">
        <v>133780</v>
      </c>
      <c r="B72">
        <v>70375.0927060319</v>
      </c>
    </row>
    <row r="73" spans="1:2">
      <c r="A73">
        <v>87503</v>
      </c>
      <c r="B73">
        <v>46044.0630353508</v>
      </c>
    </row>
    <row r="74" spans="1:2">
      <c r="A74">
        <v>106236</v>
      </c>
      <c r="B74">
        <v>55890.0399385029</v>
      </c>
    </row>
    <row r="75" spans="1:2">
      <c r="A75">
        <v>133666</v>
      </c>
      <c r="B75">
        <v>70303.1556715927</v>
      </c>
    </row>
    <row r="76" spans="1:2">
      <c r="A76">
        <v>99951</v>
      </c>
      <c r="B76">
        <v>52554.3898199759</v>
      </c>
    </row>
    <row r="77" spans="1:2">
      <c r="A77">
        <v>131275</v>
      </c>
      <c r="B77">
        <v>69022.4524744879</v>
      </c>
    </row>
    <row r="78" spans="1:2">
      <c r="A78">
        <v>75411</v>
      </c>
      <c r="B78">
        <v>39677.0126651435</v>
      </c>
    </row>
    <row r="79" spans="1:2">
      <c r="A79">
        <v>5407</v>
      </c>
      <c r="B79">
        <v>2891.08136426573</v>
      </c>
    </row>
    <row r="80" spans="1:2">
      <c r="A80">
        <v>4052</v>
      </c>
      <c r="B80">
        <v>2162.95397865027</v>
      </c>
    </row>
    <row r="81" spans="1:2">
      <c r="A81">
        <v>47593</v>
      </c>
      <c r="B81">
        <v>25053.6565966885</v>
      </c>
    </row>
    <row r="82" spans="1:2">
      <c r="A82">
        <v>39356</v>
      </c>
      <c r="B82">
        <v>20708.0894408808</v>
      </c>
    </row>
    <row r="83" spans="1:2">
      <c r="A83">
        <v>85946</v>
      </c>
      <c r="B83">
        <v>45190.6711567117</v>
      </c>
    </row>
    <row r="84" spans="1:2">
      <c r="A84">
        <v>145814</v>
      </c>
      <c r="B84">
        <v>76700.8816876055</v>
      </c>
    </row>
    <row r="85" spans="1:2">
      <c r="A85">
        <v>78181</v>
      </c>
      <c r="B85">
        <v>41132.4444371232</v>
      </c>
    </row>
    <row r="86" spans="1:2">
      <c r="A86">
        <v>58981</v>
      </c>
      <c r="B86">
        <v>31043.2401417451</v>
      </c>
    </row>
    <row r="87" spans="1:2">
      <c r="A87">
        <v>83440</v>
      </c>
      <c r="B87">
        <v>43885.1944827529</v>
      </c>
    </row>
    <row r="88" spans="1:2">
      <c r="A88">
        <v>118199</v>
      </c>
      <c r="B88">
        <v>62179.5147778812</v>
      </c>
    </row>
    <row r="89" spans="1:2">
      <c r="A89">
        <v>64106</v>
      </c>
      <c r="B89">
        <v>33721.0714131788</v>
      </c>
    </row>
    <row r="90" spans="1:2">
      <c r="A90">
        <v>100872</v>
      </c>
      <c r="B90">
        <v>53068.1664059204</v>
      </c>
    </row>
    <row r="91" spans="1:2">
      <c r="A91">
        <v>84510</v>
      </c>
      <c r="B91">
        <v>44439.6652455616</v>
      </c>
    </row>
    <row r="92" spans="1:2">
      <c r="A92">
        <v>80827</v>
      </c>
      <c r="B92">
        <v>42549.9603824531</v>
      </c>
    </row>
    <row r="93" spans="1:2">
      <c r="A93">
        <v>153511</v>
      </c>
      <c r="B93">
        <v>80753.1105263419</v>
      </c>
    </row>
    <row r="94" spans="1:2">
      <c r="A94">
        <v>61677</v>
      </c>
      <c r="B94">
        <v>32437.1082034692</v>
      </c>
    </row>
    <row r="95" spans="1:2">
      <c r="A95">
        <v>6086</v>
      </c>
      <c r="B95">
        <v>3217.5989184248</v>
      </c>
    </row>
    <row r="96" spans="1:2">
      <c r="A96">
        <v>3611</v>
      </c>
      <c r="B96">
        <v>1931.9324722376</v>
      </c>
    </row>
    <row r="97" spans="1:2">
      <c r="A97">
        <v>85947</v>
      </c>
      <c r="B97">
        <v>45223.850739984</v>
      </c>
    </row>
    <row r="98" spans="1:2">
      <c r="A98">
        <v>27765</v>
      </c>
      <c r="B98">
        <v>14636.3517774059</v>
      </c>
    </row>
    <row r="99" spans="1:2">
      <c r="A99">
        <v>128612</v>
      </c>
      <c r="B99">
        <v>67660.9272040753</v>
      </c>
    </row>
    <row r="100" spans="1:2">
      <c r="A100">
        <v>32213</v>
      </c>
      <c r="B100">
        <v>16955.7030656991</v>
      </c>
    </row>
    <row r="101" spans="1:2">
      <c r="A101">
        <v>70351</v>
      </c>
      <c r="B101">
        <v>37019.4433967792</v>
      </c>
    </row>
    <row r="102" spans="1:2">
      <c r="A102">
        <v>97407</v>
      </c>
      <c r="B102">
        <v>51225.0878349868</v>
      </c>
    </row>
    <row r="103" spans="1:2">
      <c r="A103">
        <v>134991</v>
      </c>
      <c r="B103">
        <v>71004.1527047216</v>
      </c>
    </row>
    <row r="104" spans="1:2">
      <c r="A104">
        <v>20414</v>
      </c>
      <c r="B104">
        <v>10759.3102671423</v>
      </c>
    </row>
    <row r="105" spans="1:2">
      <c r="A105">
        <v>83145</v>
      </c>
      <c r="B105">
        <v>43744.6390141395</v>
      </c>
    </row>
    <row r="106" spans="1:2">
      <c r="A106">
        <v>141536</v>
      </c>
      <c r="B106">
        <v>74461.5594736403</v>
      </c>
    </row>
    <row r="107" spans="1:2">
      <c r="A107">
        <v>91311</v>
      </c>
      <c r="B107">
        <v>48032.4859122519</v>
      </c>
    </row>
    <row r="108" spans="1:2">
      <c r="A108">
        <v>31664</v>
      </c>
      <c r="B108">
        <v>16671.4880213392</v>
      </c>
    </row>
    <row r="109" spans="1:2">
      <c r="A109">
        <v>81226</v>
      </c>
      <c r="B109">
        <v>42753.2223953287</v>
      </c>
    </row>
    <row r="110" spans="1:2">
      <c r="A110">
        <v>124952</v>
      </c>
      <c r="B110">
        <v>65711.6796216533</v>
      </c>
    </row>
    <row r="111" spans="1:2">
      <c r="A111">
        <v>111753</v>
      </c>
      <c r="B111">
        <v>58785.7069328125</v>
      </c>
    </row>
    <row r="112" spans="1:2">
      <c r="A112">
        <v>16691</v>
      </c>
      <c r="B112">
        <v>8810.7455078804</v>
      </c>
    </row>
    <row r="113" spans="1:2">
      <c r="A113">
        <v>27816</v>
      </c>
      <c r="B113">
        <v>14637.7356518792</v>
      </c>
    </row>
    <row r="114" spans="1:2">
      <c r="A114">
        <v>49777</v>
      </c>
      <c r="B114">
        <v>26221.6143136733</v>
      </c>
    </row>
    <row r="115" spans="1:2">
      <c r="A115">
        <v>101041</v>
      </c>
      <c r="B115">
        <v>53154.3793866391</v>
      </c>
    </row>
    <row r="116" spans="1:2">
      <c r="A116">
        <v>100414</v>
      </c>
      <c r="B116">
        <v>52802.9636644328</v>
      </c>
    </row>
    <row r="117" spans="1:2">
      <c r="A117">
        <v>71738</v>
      </c>
      <c r="B117">
        <v>37740.7073483561</v>
      </c>
    </row>
    <row r="118" spans="1:2">
      <c r="A118">
        <v>86125</v>
      </c>
      <c r="B118">
        <v>45277.4515585159</v>
      </c>
    </row>
    <row r="119" spans="1:2">
      <c r="A119">
        <v>1880</v>
      </c>
      <c r="B119">
        <v>1025.04487620453</v>
      </c>
    </row>
    <row r="120" spans="1:2">
      <c r="A120">
        <v>33566</v>
      </c>
      <c r="B120">
        <v>17680.4684978077</v>
      </c>
    </row>
    <row r="121" spans="1:2">
      <c r="A121">
        <v>53004</v>
      </c>
      <c r="B121">
        <v>27898.0353865827</v>
      </c>
    </row>
    <row r="122" spans="1:2">
      <c r="A122">
        <v>58365</v>
      </c>
      <c r="B122">
        <v>30697.1404955245</v>
      </c>
    </row>
    <row r="123" spans="1:2">
      <c r="A123">
        <v>20765</v>
      </c>
      <c r="B123">
        <v>10947.9980086979</v>
      </c>
    </row>
    <row r="124" spans="1:2">
      <c r="A124">
        <v>138166</v>
      </c>
      <c r="B124">
        <v>72661.4642481803</v>
      </c>
    </row>
    <row r="125" spans="1:2">
      <c r="A125">
        <v>95758</v>
      </c>
      <c r="B125">
        <v>50357.1512176385</v>
      </c>
    </row>
    <row r="126" spans="1:2">
      <c r="A126">
        <v>155101</v>
      </c>
      <c r="B126">
        <v>81556.6840389065</v>
      </c>
    </row>
    <row r="127" spans="1:2">
      <c r="A127">
        <v>124294</v>
      </c>
      <c r="B127">
        <v>65403.4133765656</v>
      </c>
    </row>
    <row r="128" spans="1:2">
      <c r="A128">
        <v>11922</v>
      </c>
      <c r="B128">
        <v>6284.38381192253</v>
      </c>
    </row>
    <row r="129" spans="1:2">
      <c r="A129">
        <v>114585</v>
      </c>
      <c r="B129">
        <v>60286.1884006853</v>
      </c>
    </row>
    <row r="130" spans="1:2">
      <c r="A130">
        <v>22470</v>
      </c>
      <c r="B130">
        <v>11841.2595853617</v>
      </c>
    </row>
    <row r="131" spans="1:2">
      <c r="A131">
        <v>15953</v>
      </c>
      <c r="B131">
        <v>8409.5061126524</v>
      </c>
    </row>
    <row r="132" spans="1:2">
      <c r="A132">
        <v>42122</v>
      </c>
      <c r="B132">
        <v>22165.5832937448</v>
      </c>
    </row>
    <row r="133" spans="1:2">
      <c r="A133">
        <v>108118</v>
      </c>
      <c r="B133">
        <v>56874.8202257163</v>
      </c>
    </row>
    <row r="134" spans="1:2">
      <c r="A134">
        <v>31791</v>
      </c>
      <c r="B134">
        <v>16759.1160453892</v>
      </c>
    </row>
    <row r="135" spans="1:2">
      <c r="A135">
        <v>64770</v>
      </c>
      <c r="B135">
        <v>34063.1793223559</v>
      </c>
    </row>
    <row r="136" spans="1:2">
      <c r="A136">
        <v>13506</v>
      </c>
      <c r="B136">
        <v>7150.45956905373</v>
      </c>
    </row>
    <row r="137" spans="1:2">
      <c r="A137">
        <v>52653</v>
      </c>
      <c r="B137">
        <v>27723.4549156712</v>
      </c>
    </row>
    <row r="138" spans="1:2">
      <c r="A138">
        <v>86106</v>
      </c>
      <c r="B138">
        <v>45299.2606692789</v>
      </c>
    </row>
    <row r="139" spans="1:2">
      <c r="A139">
        <v>29188</v>
      </c>
      <c r="B139">
        <v>15386.2614557783</v>
      </c>
    </row>
    <row r="140" spans="1:2">
      <c r="A140">
        <v>121831</v>
      </c>
      <c r="B140">
        <v>64087.8534688261</v>
      </c>
    </row>
    <row r="141" spans="1:2">
      <c r="A141">
        <v>56193</v>
      </c>
      <c r="B141">
        <v>29559.3940471088</v>
      </c>
    </row>
    <row r="142" spans="1:2">
      <c r="A142">
        <v>44955</v>
      </c>
      <c r="B142">
        <v>23657.0061220117</v>
      </c>
    </row>
    <row r="143" spans="1:2">
      <c r="A143">
        <v>73063</v>
      </c>
      <c r="B143">
        <v>38452.6067200399</v>
      </c>
    </row>
    <row r="144" spans="1:2">
      <c r="A144">
        <v>96011</v>
      </c>
      <c r="B144">
        <v>50518.2066909557</v>
      </c>
    </row>
    <row r="145" spans="1:2">
      <c r="A145">
        <v>64928</v>
      </c>
      <c r="B145">
        <v>34184.6096445672</v>
      </c>
    </row>
    <row r="146" spans="1:2">
      <c r="A146">
        <v>33655</v>
      </c>
      <c r="B146">
        <v>17731.7617513521</v>
      </c>
    </row>
    <row r="147" spans="1:2">
      <c r="A147">
        <v>127727</v>
      </c>
      <c r="B147">
        <v>67176.2991862191</v>
      </c>
    </row>
    <row r="148" spans="1:2">
      <c r="A148">
        <v>57788</v>
      </c>
      <c r="B148">
        <v>30408.9840112343</v>
      </c>
    </row>
    <row r="149" spans="1:2">
      <c r="A149">
        <v>130085</v>
      </c>
      <c r="B149">
        <v>68436.1676942692</v>
      </c>
    </row>
    <row r="150" spans="1:2">
      <c r="A150">
        <v>77889</v>
      </c>
      <c r="B150">
        <v>40969.7019457273</v>
      </c>
    </row>
    <row r="151" spans="1:2">
      <c r="A151">
        <v>27729</v>
      </c>
      <c r="B151">
        <v>14631.2822226555</v>
      </c>
    </row>
    <row r="152" spans="1:2">
      <c r="A152">
        <v>106201</v>
      </c>
      <c r="B152">
        <v>55887.8524022401</v>
      </c>
    </row>
    <row r="153" spans="1:2">
      <c r="A153">
        <v>99784</v>
      </c>
      <c r="B153">
        <v>52512.7856935976</v>
      </c>
    </row>
    <row r="154" spans="1:2">
      <c r="A154">
        <v>136750</v>
      </c>
      <c r="B154">
        <v>71901.1539623104</v>
      </c>
    </row>
    <row r="155" spans="1:2">
      <c r="A155">
        <v>37560</v>
      </c>
      <c r="B155">
        <v>19752.9356578167</v>
      </c>
    </row>
    <row r="156" spans="1:2">
      <c r="A156">
        <v>67495</v>
      </c>
      <c r="B156">
        <v>35528.1560425335</v>
      </c>
    </row>
    <row r="157" spans="1:2">
      <c r="A157">
        <v>58074</v>
      </c>
      <c r="B157">
        <v>30540.0040793157</v>
      </c>
    </row>
    <row r="158" spans="1:2">
      <c r="A158">
        <v>150748</v>
      </c>
      <c r="B158">
        <v>79254.1623900367</v>
      </c>
    </row>
    <row r="159" spans="1:2">
      <c r="A159">
        <v>9183</v>
      </c>
      <c r="B159">
        <v>4879.4316777472</v>
      </c>
    </row>
    <row r="160" spans="1:2">
      <c r="A160">
        <v>125522</v>
      </c>
      <c r="B160">
        <v>65991.6669023967</v>
      </c>
    </row>
    <row r="161" spans="1:2">
      <c r="A161">
        <v>80932</v>
      </c>
      <c r="B161">
        <v>42601.2326081011</v>
      </c>
    </row>
    <row r="162" spans="1:2">
      <c r="A162">
        <v>28599</v>
      </c>
      <c r="B162">
        <v>15099.893565316</v>
      </c>
    </row>
    <row r="163" spans="1:2">
      <c r="A163">
        <v>116806</v>
      </c>
      <c r="B163">
        <v>61430.9109658515</v>
      </c>
    </row>
    <row r="164" spans="1:2">
      <c r="A164">
        <v>82483</v>
      </c>
      <c r="B164">
        <v>43391.8823021712</v>
      </c>
    </row>
    <row r="165" spans="1:2">
      <c r="A165">
        <v>151314</v>
      </c>
      <c r="B165">
        <v>79578.7719829881</v>
      </c>
    </row>
    <row r="166" spans="1:2">
      <c r="A166">
        <v>55243</v>
      </c>
      <c r="B166">
        <v>29050.8947874628</v>
      </c>
    </row>
    <row r="167" spans="1:2">
      <c r="A167">
        <v>48353</v>
      </c>
      <c r="B167">
        <v>25451.8761048104</v>
      </c>
    </row>
    <row r="168" spans="1:2">
      <c r="A168">
        <v>25210</v>
      </c>
      <c r="B168">
        <v>13272.5276307428</v>
      </c>
    </row>
    <row r="169" spans="1:2">
      <c r="A169">
        <v>27735</v>
      </c>
      <c r="B169">
        <v>14607.9050327653</v>
      </c>
    </row>
    <row r="170" spans="1:2">
      <c r="A170">
        <v>43172</v>
      </c>
      <c r="B170">
        <v>22721.9773350173</v>
      </c>
    </row>
    <row r="171" spans="1:2">
      <c r="A171">
        <v>131337</v>
      </c>
      <c r="B171">
        <v>69085.0339310273</v>
      </c>
    </row>
    <row r="172" spans="1:2">
      <c r="A172">
        <v>102676</v>
      </c>
      <c r="B172">
        <v>54026.6923705115</v>
      </c>
    </row>
    <row r="173" spans="1:2">
      <c r="A173">
        <v>8503</v>
      </c>
      <c r="B173">
        <v>4519.64544016627</v>
      </c>
    </row>
    <row r="174" spans="1:2">
      <c r="A174">
        <v>61211</v>
      </c>
      <c r="B174">
        <v>32183.9307767432</v>
      </c>
    </row>
    <row r="175" spans="1:2">
      <c r="A175">
        <v>95712</v>
      </c>
      <c r="B175">
        <v>50354.87754934</v>
      </c>
    </row>
    <row r="176" spans="1:2">
      <c r="A176">
        <v>119569</v>
      </c>
      <c r="B176">
        <v>62899.9893543205</v>
      </c>
    </row>
    <row r="177" spans="1:2">
      <c r="A177">
        <v>20649</v>
      </c>
      <c r="B177">
        <v>10903.4770514301</v>
      </c>
    </row>
    <row r="178" spans="1:2">
      <c r="A178">
        <v>53992</v>
      </c>
      <c r="B178">
        <v>28392.7620615595</v>
      </c>
    </row>
    <row r="179" spans="1:2">
      <c r="A179">
        <v>136607</v>
      </c>
      <c r="B179">
        <v>71860.4048879649</v>
      </c>
    </row>
    <row r="180" spans="1:2">
      <c r="A180">
        <v>34546</v>
      </c>
      <c r="B180">
        <v>18181.996066262</v>
      </c>
    </row>
    <row r="181" spans="1:2">
      <c r="A181">
        <v>125038</v>
      </c>
      <c r="B181">
        <v>65750.5856412169</v>
      </c>
    </row>
    <row r="182" spans="1:2">
      <c r="A182">
        <v>121044</v>
      </c>
      <c r="B182">
        <v>63639.95279026</v>
      </c>
    </row>
    <row r="183" spans="1:2">
      <c r="A183">
        <v>82358</v>
      </c>
      <c r="B183">
        <v>43349.1113178863</v>
      </c>
    </row>
    <row r="184" spans="1:2">
      <c r="A184">
        <v>54881</v>
      </c>
      <c r="B184">
        <v>28860.6474567581</v>
      </c>
    </row>
    <row r="185" spans="1:2">
      <c r="A185">
        <v>80383</v>
      </c>
      <c r="B185">
        <v>42277.5446344403</v>
      </c>
    </row>
    <row r="186" spans="1:2">
      <c r="A186">
        <v>64962</v>
      </c>
      <c r="B186">
        <v>34163.5882521183</v>
      </c>
    </row>
    <row r="187" spans="1:2">
      <c r="A187">
        <v>144648</v>
      </c>
      <c r="B187">
        <v>76068.2127694216</v>
      </c>
    </row>
    <row r="188" spans="1:2">
      <c r="A188">
        <v>90686</v>
      </c>
      <c r="B188">
        <v>47693.8047021529</v>
      </c>
    </row>
    <row r="189" spans="1:2">
      <c r="A189">
        <v>50774</v>
      </c>
      <c r="B189">
        <v>26748.8662556407</v>
      </c>
    </row>
    <row r="190" spans="1:2">
      <c r="A190">
        <v>120190</v>
      </c>
      <c r="B190">
        <v>63208.8969657563</v>
      </c>
    </row>
    <row r="191" spans="1:2">
      <c r="A191">
        <v>12848</v>
      </c>
      <c r="B191">
        <v>6814.08618640493</v>
      </c>
    </row>
    <row r="192" spans="1:2">
      <c r="A192">
        <v>134820</v>
      </c>
      <c r="B192">
        <v>70915.8732848804</v>
      </c>
    </row>
    <row r="193" spans="1:2">
      <c r="A193">
        <v>94570</v>
      </c>
      <c r="B193">
        <v>49764.4273483112</v>
      </c>
    </row>
    <row r="194" spans="1:2">
      <c r="A194">
        <v>45987</v>
      </c>
      <c r="B194">
        <v>24207.6661676509</v>
      </c>
    </row>
    <row r="195" spans="1:2">
      <c r="A195">
        <v>96850</v>
      </c>
      <c r="B195">
        <v>50939.5620605947</v>
      </c>
    </row>
    <row r="196" spans="1:2">
      <c r="A196">
        <v>96884</v>
      </c>
      <c r="B196">
        <v>50971.1332239667</v>
      </c>
    </row>
    <row r="197" spans="1:2">
      <c r="A197">
        <v>17374</v>
      </c>
      <c r="B197">
        <v>9155.2181648032</v>
      </c>
    </row>
    <row r="198" spans="1:2">
      <c r="A198">
        <v>50200</v>
      </c>
      <c r="B198">
        <v>26449.1027003709</v>
      </c>
    </row>
    <row r="199" spans="1:2">
      <c r="A199">
        <v>91932</v>
      </c>
      <c r="B199">
        <v>48385.2990241983</v>
      </c>
    </row>
    <row r="200" spans="1:2">
      <c r="A200">
        <v>28584</v>
      </c>
      <c r="B200">
        <v>15064.5409508001</v>
      </c>
    </row>
    <row r="204" spans="1:2">
      <c r="A204" s="1"/>
      <c r="B204" s="1"/>
    </row>
    <row r="205" spans="2:2">
      <c r="B205" s="2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I15" sqref="I15"/>
    </sheetView>
  </sheetViews>
  <sheetFormatPr defaultColWidth="9" defaultRowHeight="14" outlineLevelRow="1"/>
  <cols>
    <col min="1" max="1" width="8.88333333333333" style="2"/>
    <col min="2" max="2" width="30.5583333333333" style="2" customWidth="1"/>
    <col min="3" max="3" width="8.88333333333333" style="2"/>
    <col min="4" max="4" width="13.2166666666667" style="2" customWidth="1"/>
    <col min="5" max="6" width="8.88333333333333" style="2"/>
    <col min="7" max="7" width="10" style="2" customWidth="1"/>
    <col min="8" max="8" width="11.775" style="2" customWidth="1"/>
    <col min="9" max="9" width="11.3333333333333" style="2" customWidth="1"/>
    <col min="10" max="10" width="12.5583333333333" style="2" customWidth="1"/>
    <col min="11" max="11" width="10.1083333333333" style="2" customWidth="1"/>
    <col min="12" max="16384" width="8.88333333333333" style="2"/>
  </cols>
  <sheetData>
    <row r="1" ht="56" spans="1:13">
      <c r="A1" s="3" t="s">
        <v>282</v>
      </c>
      <c r="B1" s="3" t="s">
        <v>434</v>
      </c>
      <c r="C1" s="3" t="s">
        <v>283</v>
      </c>
      <c r="D1" s="4" t="s">
        <v>329</v>
      </c>
      <c r="E1" s="4" t="s">
        <v>572</v>
      </c>
      <c r="F1" s="4" t="s">
        <v>573</v>
      </c>
      <c r="G1" s="4" t="s">
        <v>287</v>
      </c>
      <c r="H1" s="4" t="s">
        <v>585</v>
      </c>
      <c r="I1" s="5" t="s">
        <v>574</v>
      </c>
      <c r="J1" s="5" t="s">
        <v>586</v>
      </c>
      <c r="K1" s="4" t="s">
        <v>475</v>
      </c>
      <c r="L1" s="5" t="s">
        <v>576</v>
      </c>
      <c r="M1" s="5" t="s">
        <v>587</v>
      </c>
    </row>
    <row r="2" spans="1:13">
      <c r="A2" s="2">
        <v>1</v>
      </c>
      <c r="B2" s="2" t="s">
        <v>588</v>
      </c>
      <c r="C2" s="2">
        <v>2020</v>
      </c>
      <c r="D2" s="2">
        <v>196.231</v>
      </c>
      <c r="G2" s="2">
        <v>4385.256</v>
      </c>
      <c r="H2" s="2">
        <v>35401.58</v>
      </c>
      <c r="I2" s="2">
        <v>2305.33</v>
      </c>
      <c r="J2" s="2">
        <v>10472.94</v>
      </c>
      <c r="K2" s="2">
        <v>4242.88</v>
      </c>
      <c r="L2" s="2">
        <v>17021</v>
      </c>
      <c r="M2" s="2">
        <v>6442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topLeftCell="A110" workbookViewId="0">
      <selection activeCell="J133" sqref="J133"/>
    </sheetView>
  </sheetViews>
  <sheetFormatPr defaultColWidth="9" defaultRowHeight="14" outlineLevelCol="1"/>
  <sheetData>
    <row r="1" spans="1:2">
      <c r="A1" t="s">
        <v>567</v>
      </c>
      <c r="B1" t="s">
        <v>568</v>
      </c>
    </row>
    <row r="2" spans="1:2">
      <c r="A2">
        <v>3353.08</v>
      </c>
      <c r="B2">
        <v>14099.2971003846</v>
      </c>
    </row>
    <row r="3" spans="1:2">
      <c r="A3">
        <v>2543.83</v>
      </c>
      <c r="B3">
        <v>12032.7027837976</v>
      </c>
    </row>
    <row r="4" spans="1:2">
      <c r="A4">
        <v>4863.77</v>
      </c>
      <c r="B4">
        <v>17168.985525748</v>
      </c>
    </row>
    <row r="5" spans="1:2">
      <c r="A5">
        <v>3323.59</v>
      </c>
      <c r="B5">
        <v>11660.2235954397</v>
      </c>
    </row>
    <row r="6" spans="1:2">
      <c r="A6">
        <v>3214.41</v>
      </c>
      <c r="B6">
        <v>15087.1067453129</v>
      </c>
    </row>
    <row r="7" spans="1:2">
      <c r="A7">
        <v>4242.09</v>
      </c>
      <c r="B7">
        <v>16755.3731043298</v>
      </c>
    </row>
    <row r="8" spans="1:2">
      <c r="A8">
        <v>3595.34</v>
      </c>
      <c r="B8">
        <v>13607.9455027253</v>
      </c>
    </row>
    <row r="9" spans="1:2">
      <c r="A9">
        <v>2197.97</v>
      </c>
      <c r="B9">
        <v>9243.9045664498</v>
      </c>
    </row>
    <row r="10" spans="1:2">
      <c r="A10">
        <v>1608.1</v>
      </c>
      <c r="B10">
        <v>7101.3048774634</v>
      </c>
    </row>
    <row r="11" spans="1:2">
      <c r="A11">
        <v>2710.09</v>
      </c>
      <c r="B11">
        <v>10662.3093483751</v>
      </c>
    </row>
    <row r="12" spans="1:2">
      <c r="A12">
        <v>2687.38</v>
      </c>
      <c r="B12">
        <v>10478.1357950602</v>
      </c>
    </row>
    <row r="13" spans="1:2">
      <c r="A13">
        <v>2257.74</v>
      </c>
      <c r="B13">
        <v>10420.4612142137</v>
      </c>
    </row>
    <row r="14" spans="1:2">
      <c r="A14">
        <v>3933.51</v>
      </c>
      <c r="B14">
        <v>14975.5468113293</v>
      </c>
    </row>
    <row r="15" spans="1:2">
      <c r="A15">
        <v>2095.5</v>
      </c>
      <c r="B15">
        <v>8205.518264856</v>
      </c>
    </row>
    <row r="16" spans="1:2">
      <c r="A16">
        <v>3893.16</v>
      </c>
      <c r="B16">
        <v>14007.0179926585</v>
      </c>
    </row>
    <row r="17" spans="1:2">
      <c r="A17">
        <v>4246.8</v>
      </c>
      <c r="B17">
        <v>15561.1686739528</v>
      </c>
    </row>
    <row r="18" spans="1:2">
      <c r="A18">
        <v>3469.53</v>
      </c>
      <c r="B18">
        <v>12860.477437491</v>
      </c>
    </row>
    <row r="19" spans="1:2">
      <c r="A19">
        <v>3256.25</v>
      </c>
      <c r="B19">
        <v>12021.4077094284</v>
      </c>
    </row>
    <row r="20" spans="1:2">
      <c r="A20">
        <v>1816.62</v>
      </c>
      <c r="B20">
        <v>8214.6824956991</v>
      </c>
    </row>
    <row r="21" spans="1:2">
      <c r="A21">
        <v>3847.36</v>
      </c>
      <c r="B21">
        <v>15573.6486856533</v>
      </c>
    </row>
    <row r="22" spans="1:2">
      <c r="A22">
        <v>2583.44</v>
      </c>
      <c r="B22">
        <v>12214.9650749359</v>
      </c>
    </row>
    <row r="23" spans="1:2">
      <c r="A23">
        <v>2577.82</v>
      </c>
      <c r="B23">
        <v>9844.3867187086</v>
      </c>
    </row>
    <row r="24" spans="1:2">
      <c r="A24">
        <v>4066.09</v>
      </c>
      <c r="B24">
        <v>14623.1002928104</v>
      </c>
    </row>
    <row r="25" spans="1:2">
      <c r="A25">
        <v>4609.98</v>
      </c>
      <c r="B25">
        <v>17815.6766966124</v>
      </c>
    </row>
    <row r="26" spans="1:2">
      <c r="A26">
        <v>3100.78</v>
      </c>
      <c r="B26">
        <v>13700.2227199542</v>
      </c>
    </row>
    <row r="27" spans="1:2">
      <c r="A27">
        <v>3698.78</v>
      </c>
      <c r="B27">
        <v>15025.5869012213</v>
      </c>
    </row>
    <row r="28" spans="1:2">
      <c r="A28">
        <v>2326.96</v>
      </c>
      <c r="B28">
        <v>10910.6100713201</v>
      </c>
    </row>
    <row r="29" spans="1:2">
      <c r="A29">
        <v>3981.11</v>
      </c>
      <c r="B29">
        <v>16572.9732534169</v>
      </c>
    </row>
    <row r="30" spans="1:2">
      <c r="A30">
        <v>3214.5</v>
      </c>
      <c r="B30">
        <v>12727.215879463</v>
      </c>
    </row>
    <row r="31" spans="1:2">
      <c r="A31">
        <v>2916.13</v>
      </c>
      <c r="B31">
        <v>13490.7332885982</v>
      </c>
    </row>
    <row r="32" spans="1:2">
      <c r="A32">
        <v>3606.2</v>
      </c>
      <c r="B32">
        <v>15219.2152300522</v>
      </c>
    </row>
    <row r="33" spans="1:2">
      <c r="A33">
        <v>3085.48</v>
      </c>
      <c r="B33">
        <v>14683.2885896204</v>
      </c>
    </row>
    <row r="34" spans="1:2">
      <c r="A34">
        <v>4266.84</v>
      </c>
      <c r="B34">
        <v>17557.5831492606</v>
      </c>
    </row>
    <row r="35" spans="1:2">
      <c r="A35">
        <v>3125.31</v>
      </c>
      <c r="B35">
        <v>12032.3026695169</v>
      </c>
    </row>
    <row r="36" spans="1:2">
      <c r="A36">
        <v>3111.88</v>
      </c>
      <c r="B36">
        <v>14133.6504488808</v>
      </c>
    </row>
    <row r="37" spans="1:2">
      <c r="A37">
        <v>4770.75</v>
      </c>
      <c r="B37">
        <v>16782.582157698</v>
      </c>
    </row>
    <row r="38" spans="1:2">
      <c r="A38">
        <v>1747.85</v>
      </c>
      <c r="B38">
        <v>7139.395421824</v>
      </c>
    </row>
    <row r="39" spans="1:2">
      <c r="A39">
        <v>4430.86</v>
      </c>
      <c r="B39">
        <v>16317.3205609133</v>
      </c>
    </row>
    <row r="40" spans="1:2">
      <c r="A40">
        <v>3316.82</v>
      </c>
      <c r="B40">
        <v>13277.4657027871</v>
      </c>
    </row>
    <row r="41" spans="1:2">
      <c r="A41">
        <v>4783.88</v>
      </c>
      <c r="B41">
        <v>18610.6886112303</v>
      </c>
    </row>
    <row r="42" spans="1:2">
      <c r="A42">
        <v>3686.88</v>
      </c>
      <c r="B42">
        <v>17328.0640382486</v>
      </c>
    </row>
    <row r="43" spans="1:2">
      <c r="A43">
        <v>1860.37</v>
      </c>
      <c r="B43">
        <v>8676.4716026258</v>
      </c>
    </row>
    <row r="44" spans="1:2">
      <c r="A44">
        <v>3314.58</v>
      </c>
      <c r="B44">
        <v>14827.4736710435</v>
      </c>
    </row>
    <row r="45" spans="1:2">
      <c r="A45">
        <v>4167.24</v>
      </c>
      <c r="B45">
        <v>16539.729097804</v>
      </c>
    </row>
    <row r="46" spans="1:2">
      <c r="A46">
        <v>3480.73</v>
      </c>
      <c r="B46">
        <v>12410.954827238</v>
      </c>
    </row>
    <row r="47" spans="1:2">
      <c r="A47">
        <v>3313.21</v>
      </c>
      <c r="B47">
        <v>15611.0413171008</v>
      </c>
    </row>
    <row r="48" spans="1:2">
      <c r="A48">
        <v>2990.89</v>
      </c>
      <c r="B48">
        <v>13632.9737274017</v>
      </c>
    </row>
    <row r="49" spans="1:2">
      <c r="A49">
        <v>3749.39</v>
      </c>
      <c r="B49">
        <v>15601.8882176956</v>
      </c>
    </row>
    <row r="50" spans="1:2">
      <c r="A50">
        <v>3401.09</v>
      </c>
      <c r="B50">
        <v>11951.8745996903</v>
      </c>
    </row>
    <row r="51" spans="1:2">
      <c r="A51">
        <v>1214.37</v>
      </c>
      <c r="B51">
        <v>4744.8004441269</v>
      </c>
    </row>
    <row r="52" spans="1:2">
      <c r="A52">
        <v>2132.4</v>
      </c>
      <c r="B52">
        <v>7810.1915514222</v>
      </c>
    </row>
    <row r="53" spans="1:2">
      <c r="A53">
        <v>2943.27</v>
      </c>
      <c r="B53">
        <v>12202.5556133635</v>
      </c>
    </row>
    <row r="54" spans="1:2">
      <c r="A54">
        <v>4640.42</v>
      </c>
      <c r="B54">
        <v>18373.8576188193</v>
      </c>
    </row>
    <row r="55" spans="1:2">
      <c r="A55">
        <v>2429.59</v>
      </c>
      <c r="B55">
        <v>10895.3968101207</v>
      </c>
    </row>
    <row r="56" spans="1:2">
      <c r="A56">
        <v>2800.47</v>
      </c>
      <c r="B56">
        <v>13327.536551459</v>
      </c>
    </row>
    <row r="57" spans="1:2">
      <c r="A57">
        <v>1247.9</v>
      </c>
      <c r="B57">
        <v>4831.820507091</v>
      </c>
    </row>
    <row r="58" spans="1:2">
      <c r="A58">
        <v>3277.4</v>
      </c>
      <c r="B58">
        <v>15067.7622796288</v>
      </c>
    </row>
    <row r="59" spans="1:2">
      <c r="A59">
        <v>4208.22</v>
      </c>
      <c r="B59">
        <v>15221.5862321638</v>
      </c>
    </row>
    <row r="60" spans="1:2">
      <c r="A60">
        <v>3368.86</v>
      </c>
      <c r="B60">
        <v>13997.4919511603</v>
      </c>
    </row>
    <row r="61" spans="1:2">
      <c r="A61">
        <v>3415.3</v>
      </c>
      <c r="B61">
        <v>12377.4390169879</v>
      </c>
    </row>
    <row r="62" spans="1:2">
      <c r="A62">
        <v>1991.14</v>
      </c>
      <c r="B62">
        <v>9416.9321430643</v>
      </c>
    </row>
    <row r="63" spans="1:2">
      <c r="A63">
        <v>2375.62</v>
      </c>
      <c r="B63">
        <v>9293.2974267765</v>
      </c>
    </row>
    <row r="64" spans="1:2">
      <c r="A64">
        <v>4568.18</v>
      </c>
      <c r="B64">
        <v>17413.1052189623</v>
      </c>
    </row>
    <row r="65" spans="1:2">
      <c r="A65">
        <v>3312.91</v>
      </c>
      <c r="B65">
        <v>14627.0874689276</v>
      </c>
    </row>
    <row r="66" spans="1:2">
      <c r="A66">
        <v>3650.88</v>
      </c>
      <c r="B66">
        <v>14846.4331898038</v>
      </c>
    </row>
    <row r="67" spans="1:2">
      <c r="A67">
        <v>2154.72</v>
      </c>
      <c r="B67">
        <v>7827.9070600078</v>
      </c>
    </row>
    <row r="68" spans="1:2">
      <c r="A68">
        <v>1950.19</v>
      </c>
      <c r="B68">
        <v>7777.7985628761</v>
      </c>
    </row>
    <row r="69" spans="1:2">
      <c r="A69">
        <v>4393.46</v>
      </c>
      <c r="B69">
        <v>18743.7949739188</v>
      </c>
    </row>
    <row r="70" spans="1:2">
      <c r="A70">
        <v>4489.94</v>
      </c>
      <c r="B70">
        <v>16558.762496525</v>
      </c>
    </row>
    <row r="71" spans="1:2">
      <c r="A71">
        <v>4051.14</v>
      </c>
      <c r="B71">
        <v>18641.668065598</v>
      </c>
    </row>
    <row r="72" spans="1:2">
      <c r="A72">
        <v>3287.67</v>
      </c>
      <c r="B72">
        <v>11527.46099396</v>
      </c>
    </row>
    <row r="73" spans="1:2">
      <c r="A73">
        <v>2749.67</v>
      </c>
      <c r="B73">
        <v>12720.1017125292</v>
      </c>
    </row>
    <row r="74" spans="1:2">
      <c r="A74">
        <v>558.21</v>
      </c>
      <c r="B74">
        <v>1990.4046943807</v>
      </c>
    </row>
    <row r="75" spans="1:2">
      <c r="A75">
        <v>2919.52</v>
      </c>
      <c r="B75">
        <v>10723.032091278</v>
      </c>
    </row>
    <row r="76" spans="1:2">
      <c r="A76">
        <v>2899.4</v>
      </c>
      <c r="B76">
        <v>10983.834310946</v>
      </c>
    </row>
    <row r="77" spans="1:2">
      <c r="A77">
        <v>1284.67</v>
      </c>
      <c r="B77">
        <v>5388.4432664746</v>
      </c>
    </row>
    <row r="78" spans="1:2">
      <c r="A78">
        <v>5128.8</v>
      </c>
      <c r="B78">
        <v>20084.6786621289</v>
      </c>
    </row>
    <row r="79" spans="1:2">
      <c r="A79">
        <v>860.2</v>
      </c>
      <c r="B79">
        <v>3749.2758279229</v>
      </c>
    </row>
    <row r="80" spans="1:2">
      <c r="A80">
        <v>2124.74</v>
      </c>
      <c r="B80">
        <v>9227.7215199688</v>
      </c>
    </row>
    <row r="81" spans="1:2">
      <c r="A81">
        <v>3024.75</v>
      </c>
      <c r="B81">
        <v>13523.7673774998</v>
      </c>
    </row>
    <row r="82" spans="1:2">
      <c r="A82">
        <v>2453.77</v>
      </c>
      <c r="B82">
        <v>9488.1197491971</v>
      </c>
    </row>
    <row r="83" spans="1:2">
      <c r="A83">
        <v>4685.02</v>
      </c>
      <c r="B83">
        <v>17189.8023357224</v>
      </c>
    </row>
    <row r="84" spans="1:2">
      <c r="A84">
        <v>4297.41</v>
      </c>
      <c r="B84">
        <v>19312.0989933901</v>
      </c>
    </row>
    <row r="85" spans="1:2">
      <c r="A85">
        <v>2990.79</v>
      </c>
      <c r="B85">
        <v>10832.0610037332</v>
      </c>
    </row>
    <row r="86" spans="1:2">
      <c r="A86">
        <v>4213.51</v>
      </c>
      <c r="B86">
        <v>16248.3375615895</v>
      </c>
    </row>
    <row r="87" spans="1:2">
      <c r="A87">
        <v>3853.08</v>
      </c>
      <c r="B87">
        <v>13584.3437439391</v>
      </c>
    </row>
    <row r="88" spans="1:2">
      <c r="A88">
        <v>899.07</v>
      </c>
      <c r="B88">
        <v>3717.5242787283</v>
      </c>
    </row>
    <row r="89" spans="1:2">
      <c r="A89">
        <v>4341.19</v>
      </c>
      <c r="B89">
        <v>15718.3411193486</v>
      </c>
    </row>
    <row r="90" spans="1:2">
      <c r="A90">
        <v>4442.99</v>
      </c>
      <c r="B90">
        <v>17875.5915362004</v>
      </c>
    </row>
    <row r="91" spans="1:2">
      <c r="A91">
        <v>259.11</v>
      </c>
      <c r="B91">
        <v>950.0136023911</v>
      </c>
    </row>
    <row r="92" spans="1:2">
      <c r="A92">
        <v>4213.21</v>
      </c>
      <c r="B92">
        <v>15904.7644976727</v>
      </c>
    </row>
    <row r="93" spans="1:2">
      <c r="A93">
        <v>4470.4</v>
      </c>
      <c r="B93">
        <v>18682.3529543156</v>
      </c>
    </row>
    <row r="94" spans="1:2">
      <c r="A94">
        <v>2113.77</v>
      </c>
      <c r="B94">
        <v>9974.4186211295</v>
      </c>
    </row>
    <row r="95" spans="1:2">
      <c r="A95">
        <v>1183.88</v>
      </c>
      <c r="B95">
        <v>5523.5334972889</v>
      </c>
    </row>
    <row r="96" spans="1:2">
      <c r="A96">
        <v>1413.89</v>
      </c>
      <c r="B96">
        <v>5114.4961555792</v>
      </c>
    </row>
    <row r="97" spans="1:2">
      <c r="A97">
        <v>2961.16</v>
      </c>
      <c r="B97">
        <v>12351.0592225222</v>
      </c>
    </row>
    <row r="98" spans="1:2">
      <c r="A98">
        <v>3592.44</v>
      </c>
      <c r="B98">
        <v>14579.0714469768</v>
      </c>
    </row>
    <row r="99" spans="1:2">
      <c r="A99">
        <v>2538.29</v>
      </c>
      <c r="B99">
        <v>9417.4242105995</v>
      </c>
    </row>
    <row r="100" spans="1:2">
      <c r="A100">
        <v>3929.15</v>
      </c>
      <c r="B100">
        <v>15443.9009654737</v>
      </c>
    </row>
    <row r="101" spans="1:2">
      <c r="A101">
        <v>2368.88</v>
      </c>
      <c r="B101">
        <v>9972.9933044805</v>
      </c>
    </row>
    <row r="102" spans="1:2">
      <c r="A102">
        <v>3572.33</v>
      </c>
      <c r="B102">
        <v>14773.5357140781</v>
      </c>
    </row>
    <row r="103" spans="1:2">
      <c r="A103">
        <v>4912.38</v>
      </c>
      <c r="B103">
        <v>18996.8796234899</v>
      </c>
    </row>
    <row r="104" spans="1:2">
      <c r="A104">
        <v>2415.42</v>
      </c>
      <c r="B104">
        <v>8772.4844077009</v>
      </c>
    </row>
    <row r="105" spans="1:2">
      <c r="A105">
        <v>4445.97</v>
      </c>
      <c r="B105">
        <v>15601.7237543773</v>
      </c>
    </row>
    <row r="106" spans="1:2">
      <c r="A106">
        <v>4958.76</v>
      </c>
      <c r="B106">
        <v>18258.3251328658</v>
      </c>
    </row>
    <row r="107" spans="1:2">
      <c r="A107">
        <v>2898.02</v>
      </c>
      <c r="B107">
        <v>12121.8002706156</v>
      </c>
    </row>
    <row r="108" spans="1:2">
      <c r="A108">
        <v>3186.41</v>
      </c>
      <c r="B108">
        <v>11585.1456408376</v>
      </c>
    </row>
    <row r="109" spans="1:2">
      <c r="A109">
        <v>2147.64</v>
      </c>
      <c r="B109">
        <v>7534.5769264931</v>
      </c>
    </row>
    <row r="110" spans="1:2">
      <c r="A110">
        <v>4947.13</v>
      </c>
      <c r="B110">
        <v>17608.8797456639</v>
      </c>
    </row>
    <row r="111" spans="1:2">
      <c r="A111">
        <v>4280.97</v>
      </c>
      <c r="B111">
        <v>16684.8915108745</v>
      </c>
    </row>
    <row r="112" spans="1:2">
      <c r="A112">
        <v>2494.41</v>
      </c>
      <c r="B112">
        <v>9299.808181053</v>
      </c>
    </row>
    <row r="113" spans="1:2">
      <c r="A113">
        <v>2504.09</v>
      </c>
      <c r="B113">
        <v>10026.3514698617</v>
      </c>
    </row>
    <row r="114" spans="1:2">
      <c r="A114">
        <v>3589.69</v>
      </c>
      <c r="B114">
        <v>14861.2520102601</v>
      </c>
    </row>
    <row r="115" spans="1:2">
      <c r="A115">
        <v>4923.46</v>
      </c>
      <c r="B115">
        <v>18302.3470318109</v>
      </c>
    </row>
    <row r="116" spans="1:2">
      <c r="A116">
        <v>4213.63</v>
      </c>
      <c r="B116">
        <v>16994.6818838899</v>
      </c>
    </row>
    <row r="117" spans="1:2">
      <c r="A117">
        <v>1366.72</v>
      </c>
      <c r="B117">
        <v>5933.5176508292</v>
      </c>
    </row>
    <row r="118" spans="1:2">
      <c r="A118">
        <v>3227.52</v>
      </c>
      <c r="B118">
        <v>15178.6887433642</v>
      </c>
    </row>
    <row r="119" spans="1:2">
      <c r="A119">
        <v>2096.08</v>
      </c>
      <c r="B119">
        <v>7563.2114810755</v>
      </c>
    </row>
    <row r="120" spans="1:2">
      <c r="A120">
        <v>3867.81</v>
      </c>
      <c r="B120">
        <v>15595.5136716017</v>
      </c>
    </row>
    <row r="121" spans="1:2">
      <c r="A121">
        <v>3146.62</v>
      </c>
      <c r="B121">
        <v>11690.686042339</v>
      </c>
    </row>
    <row r="122" spans="1:2">
      <c r="A122">
        <v>2763.72</v>
      </c>
      <c r="B122">
        <v>12642.9458642325</v>
      </c>
    </row>
    <row r="123" spans="1:2">
      <c r="A123">
        <v>2744.83</v>
      </c>
      <c r="B123">
        <v>10081.6258524861</v>
      </c>
    </row>
    <row r="124" spans="1:2">
      <c r="A124">
        <v>1446.34</v>
      </c>
      <c r="B124">
        <v>6379.9091136236</v>
      </c>
    </row>
    <row r="125" spans="1:2">
      <c r="A125">
        <v>808.94</v>
      </c>
      <c r="B125">
        <v>3398.6479026093</v>
      </c>
    </row>
    <row r="126" spans="1:2">
      <c r="A126">
        <v>3449.85</v>
      </c>
      <c r="B126">
        <v>15923.4737412231</v>
      </c>
    </row>
    <row r="127" spans="1:2">
      <c r="A127">
        <v>2442.21</v>
      </c>
      <c r="B127">
        <v>10171.3953017491</v>
      </c>
    </row>
    <row r="128" spans="1:2">
      <c r="A128">
        <v>2773.02</v>
      </c>
      <c r="B128">
        <v>11939.10843672</v>
      </c>
    </row>
    <row r="129" spans="1:2">
      <c r="A129">
        <v>3888.66</v>
      </c>
      <c r="B129">
        <v>18392.7655716481</v>
      </c>
    </row>
    <row r="130" spans="1:2">
      <c r="A130">
        <v>3497.27</v>
      </c>
      <c r="B130">
        <v>12304.6281227569</v>
      </c>
    </row>
    <row r="131" spans="1:2">
      <c r="A131">
        <v>3320.67</v>
      </c>
      <c r="B131">
        <v>12269.4777407027</v>
      </c>
    </row>
    <row r="135" spans="1:2">
      <c r="A135" s="1"/>
      <c r="B135" s="1"/>
    </row>
    <row r="136" spans="1:2">
      <c r="A136" s="2"/>
      <c r="B13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水泥行业原始数据</vt:lpstr>
      <vt:lpstr>造纸行业原始数据</vt:lpstr>
      <vt:lpstr>平板玻璃原始数据</vt:lpstr>
      <vt:lpstr>陶瓷行业原始数据</vt:lpstr>
      <vt:lpstr>钢铁(原始数据）</vt:lpstr>
      <vt:lpstr>钢铁（高炉）生成数据</vt:lpstr>
      <vt:lpstr>钢铁（电弧炉）生成数据</vt:lpstr>
      <vt:lpstr>有色行业原始数据</vt:lpstr>
      <vt:lpstr>铜冶炼生成数据</vt:lpstr>
      <vt:lpstr>纺织原始数据</vt:lpstr>
      <vt:lpstr>纺织生成数据</vt:lpstr>
      <vt:lpstr>合成纤维原始数据</vt:lpstr>
      <vt:lpstr>合成纤维生成数据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qiao</dc:creator>
  <cp:lastModifiedBy>天下无双</cp:lastModifiedBy>
  <dcterms:created xsi:type="dcterms:W3CDTF">2015-06-05T18:19:00Z</dcterms:created>
  <dcterms:modified xsi:type="dcterms:W3CDTF">2025-09-18T16:30:45Z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12E05FC2E0EE40A7B40165A2301DCC69_13</vt:lpwstr>
  </property>
  <property fmtid="{D5CDD505-2E9C-101B-9397-08002B2CF9AE}" pid="3" name="KSOProductBuildVer">
    <vt:lpwstr>2052-12.1.0.19770</vt:lpwstr>
  </property>
</Properties>
</file>